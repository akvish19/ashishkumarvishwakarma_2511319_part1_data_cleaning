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1a1363a68ac10c8/shivanandkadam_2511089_part1_data_cleaning/outputs/"/>
    </mc:Choice>
  </mc:AlternateContent>
  <xr:revisionPtr revIDLastSave="398" documentId="6_{DBFA654E-DF6E-424E-85F6-09DB92F476D3}" xr6:coauthVersionLast="47" xr6:coauthVersionMax="47" xr10:uidLastSave="{AE976C96-3C6A-42D5-BB68-4D5E7B46E960}"/>
  <bookViews>
    <workbookView xWindow="-108" yWindow="-108" windowWidth="23256" windowHeight="12456" firstSheet="3" activeTab="5" xr2:uid="{00000000-000D-0000-FFFF-FFFF00000000}"/>
  </bookViews>
  <sheets>
    <sheet name="Sales_Profit_Region" sheetId="11" r:id="rId1"/>
    <sheet name="Category_SubCategory" sheetId="10" r:id="rId2"/>
    <sheet name="Order_Count_ShipMode" sheetId="13" r:id="rId3"/>
    <sheet name="ProfitMargin_Segment" sheetId="14" r:id="rId4"/>
    <sheet name="Issue_Orders_Region" sheetId="16" r:id="rId5"/>
    <sheet name="Monthly_Sales_Trend" sheetId="17" r:id="rId6"/>
    <sheet name="cleaned_orders" sheetId="1" r:id="rId7"/>
  </sheets>
  <definedNames>
    <definedName name="_xlnm._FilterDatabase" localSheetId="6" hidden="1">cleaned_orders!$A$1:$AC$913</definedName>
  </definedNames>
  <calcPr calcId="191029"/>
  <pivotCaches>
    <pivotCache cacheId="2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" i="1" l="1"/>
  <c r="AC23" i="1"/>
  <c r="AC95" i="1"/>
  <c r="AC126" i="1"/>
  <c r="AC203" i="1"/>
  <c r="AC278" i="1"/>
  <c r="AC356" i="1"/>
  <c r="AC402" i="1"/>
  <c r="AC496" i="1"/>
  <c r="AC517" i="1"/>
  <c r="AC658" i="1"/>
  <c r="AC665" i="1"/>
  <c r="AC820" i="1"/>
  <c r="AC845" i="1"/>
  <c r="AC858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2" i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Y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Y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X65" i="1" s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X81" i="1" s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X97" i="1" s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X113" i="1" s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Y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X129" i="1" s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Y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X145" i="1" s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X161" i="1" s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X177" i="1" s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X193" i="1" s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W202" i="1"/>
  <c r="X202" i="1" s="1"/>
  <c r="W203" i="1"/>
  <c r="X203" i="1" s="1"/>
  <c r="W204" i="1"/>
  <c r="X204" i="1" s="1"/>
  <c r="W205" i="1"/>
  <c r="X205" i="1" s="1"/>
  <c r="W206" i="1"/>
  <c r="X206" i="1" s="1"/>
  <c r="W207" i="1"/>
  <c r="X207" i="1" s="1"/>
  <c r="W208" i="1"/>
  <c r="X208" i="1" s="1"/>
  <c r="W209" i="1"/>
  <c r="X209" i="1" s="1"/>
  <c r="W210" i="1"/>
  <c r="X210" i="1" s="1"/>
  <c r="W211" i="1"/>
  <c r="X211" i="1" s="1"/>
  <c r="W212" i="1"/>
  <c r="X212" i="1" s="1"/>
  <c r="W213" i="1"/>
  <c r="X213" i="1" s="1"/>
  <c r="W214" i="1"/>
  <c r="X214" i="1" s="1"/>
  <c r="W215" i="1"/>
  <c r="X215" i="1" s="1"/>
  <c r="W216" i="1"/>
  <c r="X216" i="1" s="1"/>
  <c r="Y216" i="1" s="1"/>
  <c r="W217" i="1"/>
  <c r="X217" i="1" s="1"/>
  <c r="W218" i="1"/>
  <c r="X218" i="1" s="1"/>
  <c r="W219" i="1"/>
  <c r="X219" i="1" s="1"/>
  <c r="W220" i="1"/>
  <c r="X220" i="1" s="1"/>
  <c r="W221" i="1"/>
  <c r="X221" i="1" s="1"/>
  <c r="W222" i="1"/>
  <c r="X222" i="1" s="1"/>
  <c r="W223" i="1"/>
  <c r="X223" i="1" s="1"/>
  <c r="W224" i="1"/>
  <c r="X224" i="1" s="1"/>
  <c r="W225" i="1"/>
  <c r="X225" i="1" s="1"/>
  <c r="W226" i="1"/>
  <c r="X226" i="1" s="1"/>
  <c r="W227" i="1"/>
  <c r="X227" i="1" s="1"/>
  <c r="W228" i="1"/>
  <c r="X228" i="1" s="1"/>
  <c r="W229" i="1"/>
  <c r="X229" i="1" s="1"/>
  <c r="W230" i="1"/>
  <c r="X230" i="1" s="1"/>
  <c r="W231" i="1"/>
  <c r="X231" i="1" s="1"/>
  <c r="W232" i="1"/>
  <c r="X232" i="1" s="1"/>
  <c r="Y232" i="1" s="1"/>
  <c r="W233" i="1"/>
  <c r="X233" i="1" s="1"/>
  <c r="W234" i="1"/>
  <c r="X234" i="1" s="1"/>
  <c r="W235" i="1"/>
  <c r="X235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48" i="1"/>
  <c r="X248" i="1" s="1"/>
  <c r="W249" i="1"/>
  <c r="X249" i="1" s="1"/>
  <c r="W250" i="1"/>
  <c r="X250" i="1" s="1"/>
  <c r="W251" i="1"/>
  <c r="X251" i="1" s="1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59" i="1"/>
  <c r="X259" i="1" s="1"/>
  <c r="W260" i="1"/>
  <c r="X260" i="1" s="1"/>
  <c r="W261" i="1"/>
  <c r="X261" i="1" s="1"/>
  <c r="W262" i="1"/>
  <c r="X262" i="1" s="1"/>
  <c r="W263" i="1"/>
  <c r="X263" i="1" s="1"/>
  <c r="W264" i="1"/>
  <c r="X264" i="1" s="1"/>
  <c r="Y264" i="1" s="1"/>
  <c r="W265" i="1"/>
  <c r="X265" i="1" s="1"/>
  <c r="W266" i="1"/>
  <c r="X266" i="1" s="1"/>
  <c r="W267" i="1"/>
  <c r="X267" i="1" s="1"/>
  <c r="W268" i="1"/>
  <c r="X268" i="1" s="1"/>
  <c r="W269" i="1"/>
  <c r="X269" i="1" s="1"/>
  <c r="W270" i="1"/>
  <c r="X270" i="1" s="1"/>
  <c r="W271" i="1"/>
  <c r="X271" i="1" s="1"/>
  <c r="W272" i="1"/>
  <c r="X272" i="1" s="1"/>
  <c r="W273" i="1"/>
  <c r="X273" i="1" s="1"/>
  <c r="W274" i="1"/>
  <c r="X274" i="1" s="1"/>
  <c r="W275" i="1"/>
  <c r="X275" i="1" s="1"/>
  <c r="W276" i="1"/>
  <c r="X276" i="1" s="1"/>
  <c r="W277" i="1"/>
  <c r="X277" i="1" s="1"/>
  <c r="W278" i="1"/>
  <c r="X278" i="1" s="1"/>
  <c r="W279" i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85" i="1"/>
  <c r="X285" i="1" s="1"/>
  <c r="W286" i="1"/>
  <c r="X286" i="1" s="1"/>
  <c r="W287" i="1"/>
  <c r="X287" i="1" s="1"/>
  <c r="W288" i="1"/>
  <c r="X288" i="1" s="1"/>
  <c r="W289" i="1"/>
  <c r="X289" i="1" s="1"/>
  <c r="W290" i="1"/>
  <c r="X290" i="1" s="1"/>
  <c r="W291" i="1"/>
  <c r="X291" i="1" s="1"/>
  <c r="W292" i="1"/>
  <c r="X292" i="1" s="1"/>
  <c r="W293" i="1"/>
  <c r="X293" i="1" s="1"/>
  <c r="W294" i="1"/>
  <c r="X294" i="1" s="1"/>
  <c r="Y294" i="1" s="1"/>
  <c r="W295" i="1"/>
  <c r="X295" i="1" s="1"/>
  <c r="W296" i="1"/>
  <c r="X296" i="1" s="1"/>
  <c r="W297" i="1"/>
  <c r="X297" i="1" s="1"/>
  <c r="W298" i="1"/>
  <c r="X298" i="1" s="1"/>
  <c r="W299" i="1"/>
  <c r="X299" i="1" s="1"/>
  <c r="W300" i="1"/>
  <c r="X300" i="1" s="1"/>
  <c r="W301" i="1"/>
  <c r="X301" i="1" s="1"/>
  <c r="W302" i="1"/>
  <c r="X302" i="1" s="1"/>
  <c r="W303" i="1"/>
  <c r="X303" i="1" s="1"/>
  <c r="W304" i="1"/>
  <c r="X304" i="1" s="1"/>
  <c r="W305" i="1"/>
  <c r="X305" i="1" s="1"/>
  <c r="W306" i="1"/>
  <c r="X306" i="1" s="1"/>
  <c r="Y306" i="1" s="1"/>
  <c r="W307" i="1"/>
  <c r="X307" i="1" s="1"/>
  <c r="W308" i="1"/>
  <c r="X308" i="1" s="1"/>
  <c r="W309" i="1"/>
  <c r="X309" i="1" s="1"/>
  <c r="W310" i="1"/>
  <c r="X310" i="1" s="1"/>
  <c r="W311" i="1"/>
  <c r="X311" i="1" s="1"/>
  <c r="W312" i="1"/>
  <c r="X312" i="1" s="1"/>
  <c r="W313" i="1"/>
  <c r="X313" i="1" s="1"/>
  <c r="W314" i="1"/>
  <c r="X314" i="1" s="1"/>
  <c r="W315" i="1"/>
  <c r="X315" i="1" s="1"/>
  <c r="W316" i="1"/>
  <c r="X316" i="1" s="1"/>
  <c r="W317" i="1"/>
  <c r="X317" i="1" s="1"/>
  <c r="W318" i="1"/>
  <c r="X318" i="1" s="1"/>
  <c r="W319" i="1"/>
  <c r="X319" i="1" s="1"/>
  <c r="W320" i="1"/>
  <c r="X320" i="1" s="1"/>
  <c r="W321" i="1"/>
  <c r="X321" i="1" s="1"/>
  <c r="W322" i="1"/>
  <c r="X322" i="1" s="1"/>
  <c r="W323" i="1"/>
  <c r="X323" i="1" s="1"/>
  <c r="W324" i="1"/>
  <c r="X324" i="1" s="1"/>
  <c r="Y324" i="1" s="1"/>
  <c r="W325" i="1"/>
  <c r="X325" i="1" s="1"/>
  <c r="W326" i="1"/>
  <c r="X326" i="1" s="1"/>
  <c r="W327" i="1"/>
  <c r="X327" i="1" s="1"/>
  <c r="W328" i="1"/>
  <c r="X328" i="1" s="1"/>
  <c r="W329" i="1"/>
  <c r="X329" i="1" s="1"/>
  <c r="W330" i="1"/>
  <c r="X330" i="1" s="1"/>
  <c r="W331" i="1"/>
  <c r="X331" i="1" s="1"/>
  <c r="W332" i="1"/>
  <c r="X332" i="1" s="1"/>
  <c r="W333" i="1"/>
  <c r="X333" i="1" s="1"/>
  <c r="W334" i="1"/>
  <c r="X334" i="1" s="1"/>
  <c r="W335" i="1"/>
  <c r="X335" i="1" s="1"/>
  <c r="W336" i="1"/>
  <c r="X336" i="1" s="1"/>
  <c r="W337" i="1"/>
  <c r="X337" i="1" s="1"/>
  <c r="W338" i="1"/>
  <c r="X338" i="1" s="1"/>
  <c r="W339" i="1"/>
  <c r="X339" i="1" s="1"/>
  <c r="W340" i="1"/>
  <c r="X340" i="1" s="1"/>
  <c r="W341" i="1"/>
  <c r="X341" i="1" s="1"/>
  <c r="W342" i="1"/>
  <c r="X342" i="1" s="1"/>
  <c r="W343" i="1"/>
  <c r="X343" i="1" s="1"/>
  <c r="W344" i="1"/>
  <c r="X344" i="1" s="1"/>
  <c r="W345" i="1"/>
  <c r="X345" i="1" s="1"/>
  <c r="W346" i="1"/>
  <c r="X346" i="1" s="1"/>
  <c r="W347" i="1"/>
  <c r="X347" i="1" s="1"/>
  <c r="W348" i="1"/>
  <c r="X348" i="1" s="1"/>
  <c r="Y348" i="1" s="1"/>
  <c r="W349" i="1"/>
  <c r="X349" i="1" s="1"/>
  <c r="W350" i="1"/>
  <c r="X350" i="1" s="1"/>
  <c r="W351" i="1"/>
  <c r="X351" i="1" s="1"/>
  <c r="W352" i="1"/>
  <c r="X352" i="1" s="1"/>
  <c r="W353" i="1"/>
  <c r="X353" i="1" s="1"/>
  <c r="W354" i="1"/>
  <c r="X354" i="1" s="1"/>
  <c r="W355" i="1"/>
  <c r="X355" i="1" s="1"/>
  <c r="W356" i="1"/>
  <c r="X356" i="1" s="1"/>
  <c r="W357" i="1"/>
  <c r="X357" i="1" s="1"/>
  <c r="W358" i="1"/>
  <c r="X358" i="1" s="1"/>
  <c r="W359" i="1"/>
  <c r="X359" i="1" s="1"/>
  <c r="W360" i="1"/>
  <c r="X360" i="1" s="1"/>
  <c r="Y360" i="1" s="1"/>
  <c r="W361" i="1"/>
  <c r="X361" i="1" s="1"/>
  <c r="W362" i="1"/>
  <c r="X362" i="1" s="1"/>
  <c r="W363" i="1"/>
  <c r="X363" i="1" s="1"/>
  <c r="W364" i="1"/>
  <c r="X364" i="1" s="1"/>
  <c r="W365" i="1"/>
  <c r="X365" i="1" s="1"/>
  <c r="W366" i="1"/>
  <c r="X366" i="1" s="1"/>
  <c r="W367" i="1"/>
  <c r="X367" i="1" s="1"/>
  <c r="W368" i="1"/>
  <c r="X368" i="1" s="1"/>
  <c r="W369" i="1"/>
  <c r="X369" i="1" s="1"/>
  <c r="W370" i="1"/>
  <c r="X370" i="1" s="1"/>
  <c r="W371" i="1"/>
  <c r="X371" i="1" s="1"/>
  <c r="W372" i="1"/>
  <c r="X372" i="1" s="1"/>
  <c r="W373" i="1"/>
  <c r="X373" i="1" s="1"/>
  <c r="W374" i="1"/>
  <c r="X374" i="1" s="1"/>
  <c r="W375" i="1"/>
  <c r="X375" i="1" s="1"/>
  <c r="W376" i="1"/>
  <c r="X376" i="1" s="1"/>
  <c r="W377" i="1"/>
  <c r="X377" i="1" s="1"/>
  <c r="W378" i="1"/>
  <c r="X378" i="1" s="1"/>
  <c r="W379" i="1"/>
  <c r="X379" i="1" s="1"/>
  <c r="W380" i="1"/>
  <c r="X380" i="1" s="1"/>
  <c r="W381" i="1"/>
  <c r="X381" i="1" s="1"/>
  <c r="W382" i="1"/>
  <c r="X382" i="1" s="1"/>
  <c r="W383" i="1"/>
  <c r="X383" i="1" s="1"/>
  <c r="W384" i="1"/>
  <c r="X384" i="1" s="1"/>
  <c r="W385" i="1"/>
  <c r="X385" i="1" s="1"/>
  <c r="W386" i="1"/>
  <c r="X386" i="1" s="1"/>
  <c r="W387" i="1"/>
  <c r="X387" i="1" s="1"/>
  <c r="W388" i="1"/>
  <c r="X388" i="1" s="1"/>
  <c r="W389" i="1"/>
  <c r="X389" i="1" s="1"/>
  <c r="W390" i="1"/>
  <c r="X390" i="1" s="1"/>
  <c r="W391" i="1"/>
  <c r="X391" i="1" s="1"/>
  <c r="W392" i="1"/>
  <c r="X392" i="1" s="1"/>
  <c r="W393" i="1"/>
  <c r="X393" i="1" s="1"/>
  <c r="W394" i="1"/>
  <c r="X394" i="1" s="1"/>
  <c r="W395" i="1"/>
  <c r="X395" i="1" s="1"/>
  <c r="W396" i="1"/>
  <c r="X396" i="1" s="1"/>
  <c r="W397" i="1"/>
  <c r="X397" i="1" s="1"/>
  <c r="W398" i="1"/>
  <c r="X398" i="1" s="1"/>
  <c r="W399" i="1"/>
  <c r="X399" i="1" s="1"/>
  <c r="W400" i="1"/>
  <c r="X400" i="1" s="1"/>
  <c r="W401" i="1"/>
  <c r="X401" i="1" s="1"/>
  <c r="W402" i="1"/>
  <c r="X402" i="1" s="1"/>
  <c r="W403" i="1"/>
  <c r="X403" i="1" s="1"/>
  <c r="W404" i="1"/>
  <c r="X404" i="1" s="1"/>
  <c r="W405" i="1"/>
  <c r="X405" i="1" s="1"/>
  <c r="W406" i="1"/>
  <c r="X406" i="1" s="1"/>
  <c r="W407" i="1"/>
  <c r="X407" i="1" s="1"/>
  <c r="W408" i="1"/>
  <c r="X408" i="1" s="1"/>
  <c r="W409" i="1"/>
  <c r="X409" i="1" s="1"/>
  <c r="W410" i="1"/>
  <c r="X410" i="1" s="1"/>
  <c r="W411" i="1"/>
  <c r="X411" i="1" s="1"/>
  <c r="W412" i="1"/>
  <c r="X412" i="1" s="1"/>
  <c r="W413" i="1"/>
  <c r="X413" i="1" s="1"/>
  <c r="W414" i="1"/>
  <c r="X414" i="1" s="1"/>
  <c r="W415" i="1"/>
  <c r="X415" i="1" s="1"/>
  <c r="W416" i="1"/>
  <c r="X416" i="1" s="1"/>
  <c r="W417" i="1"/>
  <c r="X417" i="1" s="1"/>
  <c r="W418" i="1"/>
  <c r="X418" i="1" s="1"/>
  <c r="W419" i="1"/>
  <c r="X419" i="1" s="1"/>
  <c r="W420" i="1"/>
  <c r="X420" i="1" s="1"/>
  <c r="W421" i="1"/>
  <c r="X421" i="1" s="1"/>
  <c r="W422" i="1"/>
  <c r="X422" i="1" s="1"/>
  <c r="W423" i="1"/>
  <c r="X423" i="1" s="1"/>
  <c r="W424" i="1"/>
  <c r="X424" i="1" s="1"/>
  <c r="W425" i="1"/>
  <c r="X425" i="1" s="1"/>
  <c r="W426" i="1"/>
  <c r="X426" i="1" s="1"/>
  <c r="W427" i="1"/>
  <c r="X427" i="1" s="1"/>
  <c r="W428" i="1"/>
  <c r="X428" i="1" s="1"/>
  <c r="W429" i="1"/>
  <c r="X429" i="1" s="1"/>
  <c r="W430" i="1"/>
  <c r="X430" i="1" s="1"/>
  <c r="W431" i="1"/>
  <c r="X431" i="1" s="1"/>
  <c r="W432" i="1"/>
  <c r="X432" i="1" s="1"/>
  <c r="W433" i="1"/>
  <c r="X433" i="1" s="1"/>
  <c r="W434" i="1"/>
  <c r="X434" i="1" s="1"/>
  <c r="W435" i="1"/>
  <c r="X435" i="1" s="1"/>
  <c r="W436" i="1"/>
  <c r="X436" i="1" s="1"/>
  <c r="W437" i="1"/>
  <c r="X437" i="1" s="1"/>
  <c r="W438" i="1"/>
  <c r="X438" i="1" s="1"/>
  <c r="W439" i="1"/>
  <c r="X439" i="1" s="1"/>
  <c r="W440" i="1"/>
  <c r="X440" i="1" s="1"/>
  <c r="W441" i="1"/>
  <c r="X441" i="1" s="1"/>
  <c r="W442" i="1"/>
  <c r="X442" i="1" s="1"/>
  <c r="W443" i="1"/>
  <c r="X443" i="1" s="1"/>
  <c r="W444" i="1"/>
  <c r="X444" i="1" s="1"/>
  <c r="Y444" i="1" s="1"/>
  <c r="W445" i="1"/>
  <c r="X445" i="1" s="1"/>
  <c r="W446" i="1"/>
  <c r="X446" i="1" s="1"/>
  <c r="W447" i="1"/>
  <c r="X447" i="1" s="1"/>
  <c r="W448" i="1"/>
  <c r="X448" i="1" s="1"/>
  <c r="W449" i="1"/>
  <c r="X449" i="1" s="1"/>
  <c r="W450" i="1"/>
  <c r="X450" i="1" s="1"/>
  <c r="W451" i="1"/>
  <c r="X451" i="1" s="1"/>
  <c r="W452" i="1"/>
  <c r="X452" i="1" s="1"/>
  <c r="W453" i="1"/>
  <c r="X453" i="1" s="1"/>
  <c r="W454" i="1"/>
  <c r="X454" i="1" s="1"/>
  <c r="W455" i="1"/>
  <c r="X455" i="1" s="1"/>
  <c r="W456" i="1"/>
  <c r="X456" i="1" s="1"/>
  <c r="W457" i="1"/>
  <c r="X457" i="1" s="1"/>
  <c r="W458" i="1"/>
  <c r="X458" i="1" s="1"/>
  <c r="W459" i="1"/>
  <c r="X459" i="1" s="1"/>
  <c r="W460" i="1"/>
  <c r="X460" i="1" s="1"/>
  <c r="W461" i="1"/>
  <c r="X461" i="1" s="1"/>
  <c r="W462" i="1"/>
  <c r="X462" i="1" s="1"/>
  <c r="W463" i="1"/>
  <c r="X463" i="1" s="1"/>
  <c r="W464" i="1"/>
  <c r="X464" i="1" s="1"/>
  <c r="W465" i="1"/>
  <c r="X465" i="1" s="1"/>
  <c r="W466" i="1"/>
  <c r="X466" i="1" s="1"/>
  <c r="W467" i="1"/>
  <c r="X467" i="1" s="1"/>
  <c r="W468" i="1"/>
  <c r="X468" i="1" s="1"/>
  <c r="W469" i="1"/>
  <c r="X469" i="1" s="1"/>
  <c r="W470" i="1"/>
  <c r="X470" i="1" s="1"/>
  <c r="W471" i="1"/>
  <c r="X471" i="1" s="1"/>
  <c r="W472" i="1"/>
  <c r="X472" i="1" s="1"/>
  <c r="W473" i="1"/>
  <c r="X473" i="1" s="1"/>
  <c r="W474" i="1"/>
  <c r="X474" i="1" s="1"/>
  <c r="W475" i="1"/>
  <c r="X475" i="1" s="1"/>
  <c r="W476" i="1"/>
  <c r="X476" i="1" s="1"/>
  <c r="W477" i="1"/>
  <c r="X477" i="1" s="1"/>
  <c r="W478" i="1"/>
  <c r="X478" i="1" s="1"/>
  <c r="W479" i="1"/>
  <c r="X479" i="1" s="1"/>
  <c r="W480" i="1"/>
  <c r="X480" i="1" s="1"/>
  <c r="W481" i="1"/>
  <c r="X481" i="1" s="1"/>
  <c r="W482" i="1"/>
  <c r="X482" i="1" s="1"/>
  <c r="W483" i="1"/>
  <c r="X483" i="1" s="1"/>
  <c r="W484" i="1"/>
  <c r="X484" i="1" s="1"/>
  <c r="W485" i="1"/>
  <c r="X485" i="1" s="1"/>
  <c r="W486" i="1"/>
  <c r="X486" i="1" s="1"/>
  <c r="W487" i="1"/>
  <c r="X487" i="1" s="1"/>
  <c r="W488" i="1"/>
  <c r="X488" i="1" s="1"/>
  <c r="W489" i="1"/>
  <c r="X489" i="1" s="1"/>
  <c r="W490" i="1"/>
  <c r="X490" i="1" s="1"/>
  <c r="W491" i="1"/>
  <c r="X491" i="1" s="1"/>
  <c r="W492" i="1"/>
  <c r="X492" i="1" s="1"/>
  <c r="W493" i="1"/>
  <c r="X493" i="1" s="1"/>
  <c r="W494" i="1"/>
  <c r="X494" i="1" s="1"/>
  <c r="W495" i="1"/>
  <c r="X495" i="1" s="1"/>
  <c r="W496" i="1"/>
  <c r="X496" i="1" s="1"/>
  <c r="W497" i="1"/>
  <c r="X497" i="1" s="1"/>
  <c r="W498" i="1"/>
  <c r="X498" i="1" s="1"/>
  <c r="W499" i="1"/>
  <c r="X499" i="1" s="1"/>
  <c r="W500" i="1"/>
  <c r="X500" i="1" s="1"/>
  <c r="W501" i="1"/>
  <c r="X501" i="1" s="1"/>
  <c r="W502" i="1"/>
  <c r="X502" i="1" s="1"/>
  <c r="W503" i="1"/>
  <c r="X503" i="1" s="1"/>
  <c r="W504" i="1"/>
  <c r="X504" i="1" s="1"/>
  <c r="W505" i="1"/>
  <c r="X505" i="1" s="1"/>
  <c r="W506" i="1"/>
  <c r="X506" i="1" s="1"/>
  <c r="W507" i="1"/>
  <c r="X507" i="1" s="1"/>
  <c r="W508" i="1"/>
  <c r="X508" i="1" s="1"/>
  <c r="W509" i="1"/>
  <c r="X509" i="1" s="1"/>
  <c r="W510" i="1"/>
  <c r="X510" i="1" s="1"/>
  <c r="W511" i="1"/>
  <c r="X511" i="1" s="1"/>
  <c r="W512" i="1"/>
  <c r="X512" i="1" s="1"/>
  <c r="W513" i="1"/>
  <c r="X513" i="1" s="1"/>
  <c r="W514" i="1"/>
  <c r="X514" i="1" s="1"/>
  <c r="W515" i="1"/>
  <c r="X515" i="1" s="1"/>
  <c r="W516" i="1"/>
  <c r="X516" i="1" s="1"/>
  <c r="Y516" i="1" s="1"/>
  <c r="W517" i="1"/>
  <c r="X517" i="1" s="1"/>
  <c r="W518" i="1"/>
  <c r="X518" i="1" s="1"/>
  <c r="W519" i="1"/>
  <c r="X519" i="1" s="1"/>
  <c r="W520" i="1"/>
  <c r="X520" i="1" s="1"/>
  <c r="W521" i="1"/>
  <c r="X521" i="1" s="1"/>
  <c r="W522" i="1"/>
  <c r="X522" i="1" s="1"/>
  <c r="W523" i="1"/>
  <c r="X523" i="1" s="1"/>
  <c r="W524" i="1"/>
  <c r="X524" i="1" s="1"/>
  <c r="W525" i="1"/>
  <c r="X525" i="1" s="1"/>
  <c r="W526" i="1"/>
  <c r="X526" i="1" s="1"/>
  <c r="W527" i="1"/>
  <c r="X527" i="1" s="1"/>
  <c r="W528" i="1"/>
  <c r="X528" i="1" s="1"/>
  <c r="W529" i="1"/>
  <c r="X529" i="1" s="1"/>
  <c r="W530" i="1"/>
  <c r="X530" i="1" s="1"/>
  <c r="W531" i="1"/>
  <c r="X531" i="1" s="1"/>
  <c r="W532" i="1"/>
  <c r="X532" i="1" s="1"/>
  <c r="W533" i="1"/>
  <c r="X533" i="1" s="1"/>
  <c r="W534" i="1"/>
  <c r="X534" i="1" s="1"/>
  <c r="W535" i="1"/>
  <c r="X535" i="1" s="1"/>
  <c r="W536" i="1"/>
  <c r="X536" i="1" s="1"/>
  <c r="W537" i="1"/>
  <c r="X537" i="1" s="1"/>
  <c r="W538" i="1"/>
  <c r="X538" i="1" s="1"/>
  <c r="W539" i="1"/>
  <c r="X539" i="1" s="1"/>
  <c r="W540" i="1"/>
  <c r="X540" i="1" s="1"/>
  <c r="W541" i="1"/>
  <c r="X541" i="1" s="1"/>
  <c r="W542" i="1"/>
  <c r="X542" i="1" s="1"/>
  <c r="W543" i="1"/>
  <c r="X543" i="1" s="1"/>
  <c r="W544" i="1"/>
  <c r="X544" i="1" s="1"/>
  <c r="W545" i="1"/>
  <c r="X545" i="1" s="1"/>
  <c r="W546" i="1"/>
  <c r="X546" i="1" s="1"/>
  <c r="W547" i="1"/>
  <c r="X547" i="1" s="1"/>
  <c r="W548" i="1"/>
  <c r="X548" i="1" s="1"/>
  <c r="W549" i="1"/>
  <c r="X549" i="1" s="1"/>
  <c r="W550" i="1"/>
  <c r="X550" i="1" s="1"/>
  <c r="W551" i="1"/>
  <c r="X551" i="1" s="1"/>
  <c r="W552" i="1"/>
  <c r="X552" i="1" s="1"/>
  <c r="W553" i="1"/>
  <c r="X553" i="1" s="1"/>
  <c r="W554" i="1"/>
  <c r="X554" i="1" s="1"/>
  <c r="W555" i="1"/>
  <c r="X555" i="1" s="1"/>
  <c r="W556" i="1"/>
  <c r="X556" i="1" s="1"/>
  <c r="W557" i="1"/>
  <c r="X557" i="1" s="1"/>
  <c r="W558" i="1"/>
  <c r="X558" i="1" s="1"/>
  <c r="W559" i="1"/>
  <c r="X559" i="1" s="1"/>
  <c r="W560" i="1"/>
  <c r="X560" i="1" s="1"/>
  <c r="W561" i="1"/>
  <c r="X561" i="1" s="1"/>
  <c r="W562" i="1"/>
  <c r="X562" i="1" s="1"/>
  <c r="W563" i="1"/>
  <c r="X563" i="1" s="1"/>
  <c r="W564" i="1"/>
  <c r="X564" i="1" s="1"/>
  <c r="W565" i="1"/>
  <c r="X565" i="1" s="1"/>
  <c r="W566" i="1"/>
  <c r="X566" i="1" s="1"/>
  <c r="W567" i="1"/>
  <c r="X567" i="1" s="1"/>
  <c r="W568" i="1"/>
  <c r="X568" i="1" s="1"/>
  <c r="W569" i="1"/>
  <c r="X569" i="1" s="1"/>
  <c r="W570" i="1"/>
  <c r="X570" i="1" s="1"/>
  <c r="W571" i="1"/>
  <c r="X571" i="1" s="1"/>
  <c r="W572" i="1"/>
  <c r="X572" i="1" s="1"/>
  <c r="W573" i="1"/>
  <c r="X573" i="1" s="1"/>
  <c r="W574" i="1"/>
  <c r="X574" i="1" s="1"/>
  <c r="W575" i="1"/>
  <c r="X575" i="1" s="1"/>
  <c r="W576" i="1"/>
  <c r="X576" i="1" s="1"/>
  <c r="W577" i="1"/>
  <c r="X577" i="1" s="1"/>
  <c r="W578" i="1"/>
  <c r="X578" i="1" s="1"/>
  <c r="W579" i="1"/>
  <c r="X579" i="1" s="1"/>
  <c r="W580" i="1"/>
  <c r="X580" i="1" s="1"/>
  <c r="W581" i="1"/>
  <c r="X581" i="1" s="1"/>
  <c r="W582" i="1"/>
  <c r="X582" i="1" s="1"/>
  <c r="W583" i="1"/>
  <c r="X583" i="1" s="1"/>
  <c r="W584" i="1"/>
  <c r="X584" i="1" s="1"/>
  <c r="W585" i="1"/>
  <c r="X585" i="1" s="1"/>
  <c r="W586" i="1"/>
  <c r="X586" i="1" s="1"/>
  <c r="W587" i="1"/>
  <c r="X587" i="1" s="1"/>
  <c r="W588" i="1"/>
  <c r="X588" i="1" s="1"/>
  <c r="W589" i="1"/>
  <c r="X589" i="1" s="1"/>
  <c r="W590" i="1"/>
  <c r="X590" i="1" s="1"/>
  <c r="W591" i="1"/>
  <c r="X591" i="1" s="1"/>
  <c r="W592" i="1"/>
  <c r="X592" i="1" s="1"/>
  <c r="W593" i="1"/>
  <c r="X593" i="1" s="1"/>
  <c r="W594" i="1"/>
  <c r="X594" i="1" s="1"/>
  <c r="W595" i="1"/>
  <c r="X595" i="1" s="1"/>
  <c r="W596" i="1"/>
  <c r="X596" i="1" s="1"/>
  <c r="W597" i="1"/>
  <c r="X597" i="1" s="1"/>
  <c r="W598" i="1"/>
  <c r="X598" i="1" s="1"/>
  <c r="W599" i="1"/>
  <c r="X599" i="1" s="1"/>
  <c r="W600" i="1"/>
  <c r="X600" i="1" s="1"/>
  <c r="W601" i="1"/>
  <c r="X601" i="1" s="1"/>
  <c r="W602" i="1"/>
  <c r="X602" i="1" s="1"/>
  <c r="W603" i="1"/>
  <c r="X603" i="1" s="1"/>
  <c r="W604" i="1"/>
  <c r="X604" i="1" s="1"/>
  <c r="W605" i="1"/>
  <c r="X605" i="1" s="1"/>
  <c r="W606" i="1"/>
  <c r="X606" i="1" s="1"/>
  <c r="W607" i="1"/>
  <c r="X607" i="1" s="1"/>
  <c r="W608" i="1"/>
  <c r="X608" i="1" s="1"/>
  <c r="W609" i="1"/>
  <c r="X609" i="1" s="1"/>
  <c r="W610" i="1"/>
  <c r="X610" i="1" s="1"/>
  <c r="W611" i="1"/>
  <c r="X611" i="1" s="1"/>
  <c r="W612" i="1"/>
  <c r="X612" i="1" s="1"/>
  <c r="W613" i="1"/>
  <c r="X613" i="1" s="1"/>
  <c r="W614" i="1"/>
  <c r="X614" i="1" s="1"/>
  <c r="W615" i="1"/>
  <c r="X615" i="1" s="1"/>
  <c r="W616" i="1"/>
  <c r="X616" i="1" s="1"/>
  <c r="W617" i="1"/>
  <c r="X617" i="1" s="1"/>
  <c r="W618" i="1"/>
  <c r="X618" i="1" s="1"/>
  <c r="W619" i="1"/>
  <c r="X619" i="1" s="1"/>
  <c r="W620" i="1"/>
  <c r="X620" i="1" s="1"/>
  <c r="W621" i="1"/>
  <c r="X621" i="1" s="1"/>
  <c r="W622" i="1"/>
  <c r="X622" i="1" s="1"/>
  <c r="W623" i="1"/>
  <c r="X623" i="1" s="1"/>
  <c r="W624" i="1"/>
  <c r="X624" i="1" s="1"/>
  <c r="W625" i="1"/>
  <c r="X625" i="1" s="1"/>
  <c r="W626" i="1"/>
  <c r="X626" i="1" s="1"/>
  <c r="W627" i="1"/>
  <c r="X627" i="1" s="1"/>
  <c r="W628" i="1"/>
  <c r="X628" i="1" s="1"/>
  <c r="W629" i="1"/>
  <c r="X629" i="1" s="1"/>
  <c r="W630" i="1"/>
  <c r="X630" i="1" s="1"/>
  <c r="W631" i="1"/>
  <c r="X631" i="1" s="1"/>
  <c r="W632" i="1"/>
  <c r="X632" i="1" s="1"/>
  <c r="W633" i="1"/>
  <c r="X633" i="1" s="1"/>
  <c r="W634" i="1"/>
  <c r="X634" i="1" s="1"/>
  <c r="W635" i="1"/>
  <c r="X635" i="1" s="1"/>
  <c r="W636" i="1"/>
  <c r="X636" i="1" s="1"/>
  <c r="Y636" i="1" s="1"/>
  <c r="W637" i="1"/>
  <c r="X637" i="1" s="1"/>
  <c r="W638" i="1"/>
  <c r="X638" i="1" s="1"/>
  <c r="W639" i="1"/>
  <c r="X639" i="1" s="1"/>
  <c r="W640" i="1"/>
  <c r="X640" i="1" s="1"/>
  <c r="W641" i="1"/>
  <c r="X641" i="1" s="1"/>
  <c r="W642" i="1"/>
  <c r="X642" i="1" s="1"/>
  <c r="W643" i="1"/>
  <c r="X643" i="1" s="1"/>
  <c r="W644" i="1"/>
  <c r="X644" i="1" s="1"/>
  <c r="W645" i="1"/>
  <c r="X645" i="1" s="1"/>
  <c r="W646" i="1"/>
  <c r="X646" i="1" s="1"/>
  <c r="W647" i="1"/>
  <c r="X647" i="1" s="1"/>
  <c r="W648" i="1"/>
  <c r="X648" i="1" s="1"/>
  <c r="W649" i="1"/>
  <c r="X649" i="1" s="1"/>
  <c r="W650" i="1"/>
  <c r="X650" i="1" s="1"/>
  <c r="W651" i="1"/>
  <c r="X651" i="1" s="1"/>
  <c r="W652" i="1"/>
  <c r="X652" i="1" s="1"/>
  <c r="W653" i="1"/>
  <c r="X653" i="1" s="1"/>
  <c r="W654" i="1"/>
  <c r="X654" i="1" s="1"/>
  <c r="W655" i="1"/>
  <c r="X655" i="1" s="1"/>
  <c r="W656" i="1"/>
  <c r="X656" i="1" s="1"/>
  <c r="W657" i="1"/>
  <c r="X657" i="1" s="1"/>
  <c r="W658" i="1"/>
  <c r="X658" i="1" s="1"/>
  <c r="W659" i="1"/>
  <c r="X659" i="1" s="1"/>
  <c r="W660" i="1"/>
  <c r="X660" i="1" s="1"/>
  <c r="W661" i="1"/>
  <c r="X661" i="1" s="1"/>
  <c r="W662" i="1"/>
  <c r="X662" i="1" s="1"/>
  <c r="W663" i="1"/>
  <c r="X663" i="1" s="1"/>
  <c r="W664" i="1"/>
  <c r="X664" i="1" s="1"/>
  <c r="W665" i="1"/>
  <c r="X665" i="1" s="1"/>
  <c r="W666" i="1"/>
  <c r="X666" i="1" s="1"/>
  <c r="W667" i="1"/>
  <c r="X667" i="1" s="1"/>
  <c r="W668" i="1"/>
  <c r="X668" i="1" s="1"/>
  <c r="W669" i="1"/>
  <c r="X669" i="1" s="1"/>
  <c r="W670" i="1"/>
  <c r="X670" i="1" s="1"/>
  <c r="W671" i="1"/>
  <c r="X671" i="1" s="1"/>
  <c r="W672" i="1"/>
  <c r="X672" i="1" s="1"/>
  <c r="W673" i="1"/>
  <c r="X673" i="1" s="1"/>
  <c r="W674" i="1"/>
  <c r="X674" i="1" s="1"/>
  <c r="W675" i="1"/>
  <c r="X675" i="1" s="1"/>
  <c r="W676" i="1"/>
  <c r="X676" i="1" s="1"/>
  <c r="W677" i="1"/>
  <c r="X677" i="1" s="1"/>
  <c r="W678" i="1"/>
  <c r="X678" i="1" s="1"/>
  <c r="W679" i="1"/>
  <c r="X679" i="1" s="1"/>
  <c r="W680" i="1"/>
  <c r="X680" i="1" s="1"/>
  <c r="W681" i="1"/>
  <c r="X681" i="1" s="1"/>
  <c r="W682" i="1"/>
  <c r="X682" i="1" s="1"/>
  <c r="W683" i="1"/>
  <c r="X683" i="1" s="1"/>
  <c r="W684" i="1"/>
  <c r="X684" i="1" s="1"/>
  <c r="W685" i="1"/>
  <c r="X685" i="1" s="1"/>
  <c r="W686" i="1"/>
  <c r="X686" i="1" s="1"/>
  <c r="W687" i="1"/>
  <c r="X687" i="1" s="1"/>
  <c r="W688" i="1"/>
  <c r="X688" i="1" s="1"/>
  <c r="W689" i="1"/>
  <c r="X689" i="1" s="1"/>
  <c r="W690" i="1"/>
  <c r="X690" i="1" s="1"/>
  <c r="W691" i="1"/>
  <c r="X691" i="1" s="1"/>
  <c r="W692" i="1"/>
  <c r="X692" i="1" s="1"/>
  <c r="W693" i="1"/>
  <c r="X693" i="1" s="1"/>
  <c r="W694" i="1"/>
  <c r="X694" i="1" s="1"/>
  <c r="W695" i="1"/>
  <c r="X695" i="1" s="1"/>
  <c r="W696" i="1"/>
  <c r="X696" i="1" s="1"/>
  <c r="Y696" i="1" s="1"/>
  <c r="W697" i="1"/>
  <c r="X697" i="1" s="1"/>
  <c r="W698" i="1"/>
  <c r="X698" i="1" s="1"/>
  <c r="W699" i="1"/>
  <c r="X699" i="1" s="1"/>
  <c r="W700" i="1"/>
  <c r="X700" i="1" s="1"/>
  <c r="W701" i="1"/>
  <c r="X701" i="1" s="1"/>
  <c r="W702" i="1"/>
  <c r="X702" i="1" s="1"/>
  <c r="W703" i="1"/>
  <c r="X703" i="1" s="1"/>
  <c r="W704" i="1"/>
  <c r="X704" i="1" s="1"/>
  <c r="W705" i="1"/>
  <c r="X705" i="1" s="1"/>
  <c r="W706" i="1"/>
  <c r="X706" i="1" s="1"/>
  <c r="W707" i="1"/>
  <c r="X707" i="1" s="1"/>
  <c r="W708" i="1"/>
  <c r="X708" i="1" s="1"/>
  <c r="W709" i="1"/>
  <c r="X709" i="1" s="1"/>
  <c r="W710" i="1"/>
  <c r="X710" i="1" s="1"/>
  <c r="W711" i="1"/>
  <c r="X711" i="1" s="1"/>
  <c r="W712" i="1"/>
  <c r="X712" i="1" s="1"/>
  <c r="W713" i="1"/>
  <c r="X713" i="1" s="1"/>
  <c r="Y713" i="1" s="1"/>
  <c r="W714" i="1"/>
  <c r="X714" i="1" s="1"/>
  <c r="W715" i="1"/>
  <c r="X715" i="1" s="1"/>
  <c r="W716" i="1"/>
  <c r="X716" i="1" s="1"/>
  <c r="W717" i="1"/>
  <c r="X717" i="1" s="1"/>
  <c r="W718" i="1"/>
  <c r="X718" i="1" s="1"/>
  <c r="W719" i="1"/>
  <c r="X719" i="1" s="1"/>
  <c r="W720" i="1"/>
  <c r="X720" i="1" s="1"/>
  <c r="W721" i="1"/>
  <c r="X721" i="1" s="1"/>
  <c r="W722" i="1"/>
  <c r="X722" i="1" s="1"/>
  <c r="W723" i="1"/>
  <c r="X723" i="1" s="1"/>
  <c r="W724" i="1"/>
  <c r="X724" i="1" s="1"/>
  <c r="W725" i="1"/>
  <c r="X725" i="1" s="1"/>
  <c r="W726" i="1"/>
  <c r="X726" i="1" s="1"/>
  <c r="W727" i="1"/>
  <c r="X727" i="1" s="1"/>
  <c r="W728" i="1"/>
  <c r="X728" i="1" s="1"/>
  <c r="W729" i="1"/>
  <c r="X729" i="1" s="1"/>
  <c r="W730" i="1"/>
  <c r="X730" i="1" s="1"/>
  <c r="W731" i="1"/>
  <c r="X731" i="1" s="1"/>
  <c r="W732" i="1"/>
  <c r="X732" i="1" s="1"/>
  <c r="W733" i="1"/>
  <c r="X733" i="1" s="1"/>
  <c r="W734" i="1"/>
  <c r="X734" i="1" s="1"/>
  <c r="W735" i="1"/>
  <c r="X735" i="1" s="1"/>
  <c r="W736" i="1"/>
  <c r="X736" i="1" s="1"/>
  <c r="W737" i="1"/>
  <c r="X737" i="1" s="1"/>
  <c r="W738" i="1"/>
  <c r="X738" i="1" s="1"/>
  <c r="W739" i="1"/>
  <c r="X739" i="1" s="1"/>
  <c r="W740" i="1"/>
  <c r="X740" i="1" s="1"/>
  <c r="W741" i="1"/>
  <c r="X741" i="1" s="1"/>
  <c r="W742" i="1"/>
  <c r="X742" i="1" s="1"/>
  <c r="W743" i="1"/>
  <c r="X743" i="1" s="1"/>
  <c r="W744" i="1"/>
  <c r="X744" i="1" s="1"/>
  <c r="W745" i="1"/>
  <c r="X745" i="1" s="1"/>
  <c r="W746" i="1"/>
  <c r="X746" i="1" s="1"/>
  <c r="W747" i="1"/>
  <c r="X747" i="1" s="1"/>
  <c r="W748" i="1"/>
  <c r="X748" i="1" s="1"/>
  <c r="W749" i="1"/>
  <c r="X749" i="1" s="1"/>
  <c r="W750" i="1"/>
  <c r="X750" i="1" s="1"/>
  <c r="W751" i="1"/>
  <c r="X751" i="1" s="1"/>
  <c r="W752" i="1"/>
  <c r="X752" i="1" s="1"/>
  <c r="W753" i="1"/>
  <c r="X753" i="1" s="1"/>
  <c r="W754" i="1"/>
  <c r="X754" i="1" s="1"/>
  <c r="W755" i="1"/>
  <c r="X755" i="1" s="1"/>
  <c r="W756" i="1"/>
  <c r="X756" i="1" s="1"/>
  <c r="W757" i="1"/>
  <c r="X757" i="1" s="1"/>
  <c r="W758" i="1"/>
  <c r="X758" i="1" s="1"/>
  <c r="W759" i="1"/>
  <c r="X759" i="1" s="1"/>
  <c r="W760" i="1"/>
  <c r="X760" i="1" s="1"/>
  <c r="W761" i="1"/>
  <c r="X761" i="1" s="1"/>
  <c r="W762" i="1"/>
  <c r="X762" i="1" s="1"/>
  <c r="W763" i="1"/>
  <c r="X763" i="1" s="1"/>
  <c r="W764" i="1"/>
  <c r="X764" i="1" s="1"/>
  <c r="W765" i="1"/>
  <c r="X765" i="1" s="1"/>
  <c r="W766" i="1"/>
  <c r="X766" i="1" s="1"/>
  <c r="W767" i="1"/>
  <c r="X767" i="1" s="1"/>
  <c r="W768" i="1"/>
  <c r="X768" i="1" s="1"/>
  <c r="W769" i="1"/>
  <c r="X769" i="1" s="1"/>
  <c r="W770" i="1"/>
  <c r="X770" i="1" s="1"/>
  <c r="W771" i="1"/>
  <c r="X771" i="1" s="1"/>
  <c r="W772" i="1"/>
  <c r="X772" i="1" s="1"/>
  <c r="W773" i="1"/>
  <c r="X773" i="1" s="1"/>
  <c r="W774" i="1"/>
  <c r="X774" i="1" s="1"/>
  <c r="W775" i="1"/>
  <c r="X775" i="1" s="1"/>
  <c r="W776" i="1"/>
  <c r="X776" i="1" s="1"/>
  <c r="W777" i="1"/>
  <c r="X777" i="1" s="1"/>
  <c r="W778" i="1"/>
  <c r="X778" i="1" s="1"/>
  <c r="W779" i="1"/>
  <c r="X779" i="1" s="1"/>
  <c r="W780" i="1"/>
  <c r="X780" i="1" s="1"/>
  <c r="W781" i="1"/>
  <c r="X781" i="1" s="1"/>
  <c r="W782" i="1"/>
  <c r="X782" i="1" s="1"/>
  <c r="W783" i="1"/>
  <c r="X783" i="1" s="1"/>
  <c r="W784" i="1"/>
  <c r="X784" i="1" s="1"/>
  <c r="W785" i="1"/>
  <c r="X785" i="1" s="1"/>
  <c r="W786" i="1"/>
  <c r="X786" i="1" s="1"/>
  <c r="W787" i="1"/>
  <c r="X787" i="1" s="1"/>
  <c r="W788" i="1"/>
  <c r="X788" i="1" s="1"/>
  <c r="W789" i="1"/>
  <c r="X789" i="1" s="1"/>
  <c r="W790" i="1"/>
  <c r="X790" i="1" s="1"/>
  <c r="W791" i="1"/>
  <c r="X791" i="1" s="1"/>
  <c r="W792" i="1"/>
  <c r="X792" i="1" s="1"/>
  <c r="Y792" i="1" s="1"/>
  <c r="W793" i="1"/>
  <c r="X793" i="1" s="1"/>
  <c r="W794" i="1"/>
  <c r="X794" i="1" s="1"/>
  <c r="W795" i="1"/>
  <c r="X795" i="1" s="1"/>
  <c r="W796" i="1"/>
  <c r="X796" i="1" s="1"/>
  <c r="W797" i="1"/>
  <c r="X797" i="1" s="1"/>
  <c r="W798" i="1"/>
  <c r="X798" i="1" s="1"/>
  <c r="W799" i="1"/>
  <c r="X799" i="1" s="1"/>
  <c r="W800" i="1"/>
  <c r="X800" i="1" s="1"/>
  <c r="W801" i="1"/>
  <c r="X801" i="1" s="1"/>
  <c r="W802" i="1"/>
  <c r="X802" i="1" s="1"/>
  <c r="W803" i="1"/>
  <c r="X803" i="1" s="1"/>
  <c r="W804" i="1"/>
  <c r="X804" i="1" s="1"/>
  <c r="W805" i="1"/>
  <c r="X805" i="1" s="1"/>
  <c r="W806" i="1"/>
  <c r="X806" i="1" s="1"/>
  <c r="W807" i="1"/>
  <c r="X807" i="1" s="1"/>
  <c r="W808" i="1"/>
  <c r="X808" i="1" s="1"/>
  <c r="W809" i="1"/>
  <c r="X809" i="1" s="1"/>
  <c r="W810" i="1"/>
  <c r="X810" i="1" s="1"/>
  <c r="W811" i="1"/>
  <c r="X811" i="1" s="1"/>
  <c r="W812" i="1"/>
  <c r="X812" i="1" s="1"/>
  <c r="W813" i="1"/>
  <c r="X813" i="1" s="1"/>
  <c r="W814" i="1"/>
  <c r="X814" i="1" s="1"/>
  <c r="W815" i="1"/>
  <c r="X815" i="1" s="1"/>
  <c r="W816" i="1"/>
  <c r="X816" i="1" s="1"/>
  <c r="W817" i="1"/>
  <c r="X817" i="1" s="1"/>
  <c r="W818" i="1"/>
  <c r="X818" i="1" s="1"/>
  <c r="W819" i="1"/>
  <c r="X819" i="1" s="1"/>
  <c r="W820" i="1"/>
  <c r="X820" i="1" s="1"/>
  <c r="W821" i="1"/>
  <c r="X821" i="1" s="1"/>
  <c r="W822" i="1"/>
  <c r="X822" i="1" s="1"/>
  <c r="W823" i="1"/>
  <c r="X823" i="1" s="1"/>
  <c r="W824" i="1"/>
  <c r="X824" i="1" s="1"/>
  <c r="W825" i="1"/>
  <c r="X825" i="1" s="1"/>
  <c r="W826" i="1"/>
  <c r="X826" i="1" s="1"/>
  <c r="W827" i="1"/>
  <c r="X827" i="1" s="1"/>
  <c r="W828" i="1"/>
  <c r="X828" i="1" s="1"/>
  <c r="W829" i="1"/>
  <c r="X829" i="1" s="1"/>
  <c r="W830" i="1"/>
  <c r="X830" i="1" s="1"/>
  <c r="W831" i="1"/>
  <c r="X831" i="1" s="1"/>
  <c r="W832" i="1"/>
  <c r="X832" i="1" s="1"/>
  <c r="W833" i="1"/>
  <c r="X833" i="1" s="1"/>
  <c r="W834" i="1"/>
  <c r="X834" i="1" s="1"/>
  <c r="W835" i="1"/>
  <c r="X835" i="1" s="1"/>
  <c r="W836" i="1"/>
  <c r="X836" i="1" s="1"/>
  <c r="W837" i="1"/>
  <c r="X837" i="1" s="1"/>
  <c r="W838" i="1"/>
  <c r="X838" i="1" s="1"/>
  <c r="W839" i="1"/>
  <c r="X839" i="1" s="1"/>
  <c r="W840" i="1"/>
  <c r="X840" i="1" s="1"/>
  <c r="W841" i="1"/>
  <c r="X841" i="1" s="1"/>
  <c r="W842" i="1"/>
  <c r="X842" i="1" s="1"/>
  <c r="W843" i="1"/>
  <c r="X843" i="1" s="1"/>
  <c r="W844" i="1"/>
  <c r="X844" i="1" s="1"/>
  <c r="W845" i="1"/>
  <c r="X845" i="1" s="1"/>
  <c r="W846" i="1"/>
  <c r="X846" i="1" s="1"/>
  <c r="W847" i="1"/>
  <c r="X847" i="1" s="1"/>
  <c r="W848" i="1"/>
  <c r="X848" i="1" s="1"/>
  <c r="W849" i="1"/>
  <c r="X849" i="1" s="1"/>
  <c r="W850" i="1"/>
  <c r="X850" i="1" s="1"/>
  <c r="W851" i="1"/>
  <c r="X851" i="1" s="1"/>
  <c r="W852" i="1"/>
  <c r="X852" i="1" s="1"/>
  <c r="W853" i="1"/>
  <c r="X853" i="1" s="1"/>
  <c r="W854" i="1"/>
  <c r="X854" i="1" s="1"/>
  <c r="W855" i="1"/>
  <c r="X855" i="1" s="1"/>
  <c r="W856" i="1"/>
  <c r="X856" i="1" s="1"/>
  <c r="W857" i="1"/>
  <c r="X857" i="1" s="1"/>
  <c r="W858" i="1"/>
  <c r="X858" i="1" s="1"/>
  <c r="W859" i="1"/>
  <c r="X859" i="1" s="1"/>
  <c r="W860" i="1"/>
  <c r="X860" i="1" s="1"/>
  <c r="W861" i="1"/>
  <c r="X861" i="1" s="1"/>
  <c r="W862" i="1"/>
  <c r="X862" i="1" s="1"/>
  <c r="W863" i="1"/>
  <c r="X863" i="1" s="1"/>
  <c r="W864" i="1"/>
  <c r="X864" i="1" s="1"/>
  <c r="W865" i="1"/>
  <c r="X865" i="1" s="1"/>
  <c r="W866" i="1"/>
  <c r="X866" i="1" s="1"/>
  <c r="W867" i="1"/>
  <c r="X867" i="1" s="1"/>
  <c r="W868" i="1"/>
  <c r="X868" i="1" s="1"/>
  <c r="W869" i="1"/>
  <c r="X869" i="1" s="1"/>
  <c r="W870" i="1"/>
  <c r="X870" i="1" s="1"/>
  <c r="W871" i="1"/>
  <c r="X871" i="1" s="1"/>
  <c r="W872" i="1"/>
  <c r="X872" i="1" s="1"/>
  <c r="W873" i="1"/>
  <c r="X873" i="1" s="1"/>
  <c r="W874" i="1"/>
  <c r="X874" i="1" s="1"/>
  <c r="W875" i="1"/>
  <c r="X875" i="1" s="1"/>
  <c r="W876" i="1"/>
  <c r="X876" i="1" s="1"/>
  <c r="W877" i="1"/>
  <c r="X877" i="1" s="1"/>
  <c r="W878" i="1"/>
  <c r="X878" i="1" s="1"/>
  <c r="W879" i="1"/>
  <c r="X879" i="1" s="1"/>
  <c r="W880" i="1"/>
  <c r="X880" i="1" s="1"/>
  <c r="W881" i="1"/>
  <c r="X881" i="1" s="1"/>
  <c r="W882" i="1"/>
  <c r="X882" i="1" s="1"/>
  <c r="W883" i="1"/>
  <c r="X883" i="1" s="1"/>
  <c r="W884" i="1"/>
  <c r="X884" i="1" s="1"/>
  <c r="W885" i="1"/>
  <c r="X885" i="1" s="1"/>
  <c r="W886" i="1"/>
  <c r="X886" i="1" s="1"/>
  <c r="W887" i="1"/>
  <c r="X887" i="1" s="1"/>
  <c r="W888" i="1"/>
  <c r="X888" i="1" s="1"/>
  <c r="W889" i="1"/>
  <c r="X889" i="1" s="1"/>
  <c r="W890" i="1"/>
  <c r="X890" i="1" s="1"/>
  <c r="W891" i="1"/>
  <c r="X891" i="1" s="1"/>
  <c r="W892" i="1"/>
  <c r="X892" i="1" s="1"/>
  <c r="W893" i="1"/>
  <c r="X893" i="1" s="1"/>
  <c r="W894" i="1"/>
  <c r="X894" i="1" s="1"/>
  <c r="W895" i="1"/>
  <c r="X895" i="1" s="1"/>
  <c r="W896" i="1"/>
  <c r="X896" i="1" s="1"/>
  <c r="W897" i="1"/>
  <c r="X897" i="1" s="1"/>
  <c r="W898" i="1"/>
  <c r="X898" i="1" s="1"/>
  <c r="W899" i="1"/>
  <c r="X899" i="1" s="1"/>
  <c r="W900" i="1"/>
  <c r="X900" i="1" s="1"/>
  <c r="W901" i="1"/>
  <c r="X901" i="1" s="1"/>
  <c r="W902" i="1"/>
  <c r="X902" i="1" s="1"/>
  <c r="W903" i="1"/>
  <c r="X903" i="1" s="1"/>
  <c r="W904" i="1"/>
  <c r="X904" i="1" s="1"/>
  <c r="W905" i="1"/>
  <c r="X905" i="1" s="1"/>
  <c r="W906" i="1"/>
  <c r="X906" i="1" s="1"/>
  <c r="W907" i="1"/>
  <c r="X907" i="1" s="1"/>
  <c r="W908" i="1"/>
  <c r="X908" i="1" s="1"/>
  <c r="W909" i="1"/>
  <c r="X909" i="1" s="1"/>
  <c r="W910" i="1"/>
  <c r="X910" i="1" s="1"/>
  <c r="W911" i="1"/>
  <c r="X911" i="1" s="1"/>
  <c r="W912" i="1"/>
  <c r="X912" i="1" s="1"/>
  <c r="W913" i="1"/>
  <c r="X913" i="1" s="1"/>
  <c r="W2" i="1"/>
  <c r="X2" i="1" s="1"/>
  <c r="D3" i="1"/>
  <c r="AC3" i="1" s="1"/>
  <c r="D4" i="1"/>
  <c r="AC4" i="1" s="1"/>
  <c r="D5" i="1"/>
  <c r="AC5" i="1" s="1"/>
  <c r="D6" i="1"/>
  <c r="AC6" i="1" s="1"/>
  <c r="D7" i="1"/>
  <c r="AC7" i="1" s="1"/>
  <c r="D8" i="1"/>
  <c r="AC8" i="1" s="1"/>
  <c r="D9" i="1"/>
  <c r="AC9" i="1" s="1"/>
  <c r="D10" i="1"/>
  <c r="AC10" i="1" s="1"/>
  <c r="D11" i="1"/>
  <c r="AC11" i="1" s="1"/>
  <c r="D12" i="1"/>
  <c r="AC12" i="1" s="1"/>
  <c r="D13" i="1"/>
  <c r="AC13" i="1" s="1"/>
  <c r="D14" i="1"/>
  <c r="AC14" i="1" s="1"/>
  <c r="D15" i="1"/>
  <c r="AC15" i="1" s="1"/>
  <c r="D16" i="1"/>
  <c r="AC16" i="1" s="1"/>
  <c r="D17" i="1"/>
  <c r="AC17" i="1" s="1"/>
  <c r="D18" i="1"/>
  <c r="AC18" i="1" s="1"/>
  <c r="D19" i="1"/>
  <c r="AC19" i="1" s="1"/>
  <c r="D20" i="1"/>
  <c r="AC20" i="1" s="1"/>
  <c r="D21" i="1"/>
  <c r="D22" i="1"/>
  <c r="AC22" i="1" s="1"/>
  <c r="D23" i="1"/>
  <c r="D24" i="1"/>
  <c r="AC24" i="1" s="1"/>
  <c r="D25" i="1"/>
  <c r="AC25" i="1" s="1"/>
  <c r="D26" i="1"/>
  <c r="AC26" i="1" s="1"/>
  <c r="D27" i="1"/>
  <c r="AC27" i="1" s="1"/>
  <c r="D28" i="1"/>
  <c r="AC28" i="1" s="1"/>
  <c r="D29" i="1"/>
  <c r="AC29" i="1" s="1"/>
  <c r="D30" i="1"/>
  <c r="AC30" i="1" s="1"/>
  <c r="D31" i="1"/>
  <c r="AC31" i="1" s="1"/>
  <c r="D32" i="1"/>
  <c r="AC32" i="1" s="1"/>
  <c r="D33" i="1"/>
  <c r="AC33" i="1" s="1"/>
  <c r="D34" i="1"/>
  <c r="AC34" i="1" s="1"/>
  <c r="D35" i="1"/>
  <c r="AC35" i="1" s="1"/>
  <c r="D36" i="1"/>
  <c r="AC36" i="1" s="1"/>
  <c r="D37" i="1"/>
  <c r="AC37" i="1" s="1"/>
  <c r="D38" i="1"/>
  <c r="AC38" i="1" s="1"/>
  <c r="D39" i="1"/>
  <c r="AC39" i="1" s="1"/>
  <c r="D40" i="1"/>
  <c r="AC40" i="1" s="1"/>
  <c r="D41" i="1"/>
  <c r="AC41" i="1" s="1"/>
  <c r="D42" i="1"/>
  <c r="AC42" i="1" s="1"/>
  <c r="D43" i="1"/>
  <c r="AC43" i="1" s="1"/>
  <c r="D44" i="1"/>
  <c r="AC44" i="1" s="1"/>
  <c r="D45" i="1"/>
  <c r="AC45" i="1" s="1"/>
  <c r="D46" i="1"/>
  <c r="AC46" i="1" s="1"/>
  <c r="D47" i="1"/>
  <c r="AC47" i="1" s="1"/>
  <c r="D48" i="1"/>
  <c r="AC48" i="1" s="1"/>
  <c r="D49" i="1"/>
  <c r="AC49" i="1" s="1"/>
  <c r="D50" i="1"/>
  <c r="AC50" i="1" s="1"/>
  <c r="D51" i="1"/>
  <c r="AC51" i="1" s="1"/>
  <c r="D52" i="1"/>
  <c r="AC52" i="1" s="1"/>
  <c r="D53" i="1"/>
  <c r="AC53" i="1" s="1"/>
  <c r="D54" i="1"/>
  <c r="AC54" i="1" s="1"/>
  <c r="D55" i="1"/>
  <c r="AC55" i="1" s="1"/>
  <c r="D56" i="1"/>
  <c r="AC56" i="1" s="1"/>
  <c r="D57" i="1"/>
  <c r="AC57" i="1" s="1"/>
  <c r="D58" i="1"/>
  <c r="AC58" i="1" s="1"/>
  <c r="D59" i="1"/>
  <c r="AC59" i="1" s="1"/>
  <c r="D60" i="1"/>
  <c r="AC60" i="1" s="1"/>
  <c r="D61" i="1"/>
  <c r="AC61" i="1" s="1"/>
  <c r="D62" i="1"/>
  <c r="AC62" i="1" s="1"/>
  <c r="D63" i="1"/>
  <c r="AC63" i="1" s="1"/>
  <c r="D64" i="1"/>
  <c r="AC64" i="1" s="1"/>
  <c r="D65" i="1"/>
  <c r="AC65" i="1" s="1"/>
  <c r="D66" i="1"/>
  <c r="AC66" i="1" s="1"/>
  <c r="D67" i="1"/>
  <c r="AC67" i="1" s="1"/>
  <c r="D68" i="1"/>
  <c r="AC68" i="1" s="1"/>
  <c r="D69" i="1"/>
  <c r="AC69" i="1" s="1"/>
  <c r="D70" i="1"/>
  <c r="AC70" i="1" s="1"/>
  <c r="D71" i="1"/>
  <c r="AC71" i="1" s="1"/>
  <c r="D72" i="1"/>
  <c r="AC72" i="1" s="1"/>
  <c r="D73" i="1"/>
  <c r="AC73" i="1" s="1"/>
  <c r="D74" i="1"/>
  <c r="AC74" i="1" s="1"/>
  <c r="D75" i="1"/>
  <c r="AC75" i="1" s="1"/>
  <c r="D76" i="1"/>
  <c r="AC76" i="1" s="1"/>
  <c r="D77" i="1"/>
  <c r="AC77" i="1" s="1"/>
  <c r="D78" i="1"/>
  <c r="AC78" i="1" s="1"/>
  <c r="D79" i="1"/>
  <c r="AC79" i="1" s="1"/>
  <c r="D80" i="1"/>
  <c r="AC80" i="1" s="1"/>
  <c r="D81" i="1"/>
  <c r="AC81" i="1" s="1"/>
  <c r="D82" i="1"/>
  <c r="AC82" i="1" s="1"/>
  <c r="D83" i="1"/>
  <c r="AC83" i="1" s="1"/>
  <c r="D84" i="1"/>
  <c r="AC84" i="1" s="1"/>
  <c r="D85" i="1"/>
  <c r="AC85" i="1" s="1"/>
  <c r="D86" i="1"/>
  <c r="AC86" i="1" s="1"/>
  <c r="D87" i="1"/>
  <c r="AC87" i="1" s="1"/>
  <c r="D88" i="1"/>
  <c r="AC88" i="1" s="1"/>
  <c r="D89" i="1"/>
  <c r="AC89" i="1" s="1"/>
  <c r="D90" i="1"/>
  <c r="AC90" i="1" s="1"/>
  <c r="D91" i="1"/>
  <c r="AC91" i="1" s="1"/>
  <c r="D92" i="1"/>
  <c r="AC92" i="1" s="1"/>
  <c r="D93" i="1"/>
  <c r="AC93" i="1" s="1"/>
  <c r="D94" i="1"/>
  <c r="AC94" i="1" s="1"/>
  <c r="D95" i="1"/>
  <c r="D96" i="1"/>
  <c r="AC96" i="1" s="1"/>
  <c r="D97" i="1"/>
  <c r="AC97" i="1" s="1"/>
  <c r="D98" i="1"/>
  <c r="AC98" i="1" s="1"/>
  <c r="D99" i="1"/>
  <c r="AC99" i="1" s="1"/>
  <c r="D100" i="1"/>
  <c r="AC100" i="1" s="1"/>
  <c r="D101" i="1"/>
  <c r="AC101" i="1" s="1"/>
  <c r="D102" i="1"/>
  <c r="AC102" i="1" s="1"/>
  <c r="D103" i="1"/>
  <c r="AC103" i="1" s="1"/>
  <c r="D104" i="1"/>
  <c r="AC104" i="1" s="1"/>
  <c r="D105" i="1"/>
  <c r="AC105" i="1" s="1"/>
  <c r="D106" i="1"/>
  <c r="AC106" i="1" s="1"/>
  <c r="D107" i="1"/>
  <c r="AC107" i="1" s="1"/>
  <c r="D108" i="1"/>
  <c r="AC108" i="1" s="1"/>
  <c r="D109" i="1"/>
  <c r="AC109" i="1" s="1"/>
  <c r="D110" i="1"/>
  <c r="AC110" i="1" s="1"/>
  <c r="D111" i="1"/>
  <c r="AC111" i="1" s="1"/>
  <c r="D112" i="1"/>
  <c r="AC112" i="1" s="1"/>
  <c r="D113" i="1"/>
  <c r="AC113" i="1" s="1"/>
  <c r="D114" i="1"/>
  <c r="AC114" i="1" s="1"/>
  <c r="D115" i="1"/>
  <c r="AC115" i="1" s="1"/>
  <c r="D116" i="1"/>
  <c r="AC116" i="1" s="1"/>
  <c r="D117" i="1"/>
  <c r="AC117" i="1" s="1"/>
  <c r="D118" i="1"/>
  <c r="AC118" i="1" s="1"/>
  <c r="D119" i="1"/>
  <c r="AC119" i="1" s="1"/>
  <c r="D120" i="1"/>
  <c r="AC120" i="1" s="1"/>
  <c r="D121" i="1"/>
  <c r="AC121" i="1" s="1"/>
  <c r="D122" i="1"/>
  <c r="AC122" i="1" s="1"/>
  <c r="D123" i="1"/>
  <c r="AC123" i="1" s="1"/>
  <c r="D124" i="1"/>
  <c r="AC124" i="1" s="1"/>
  <c r="D125" i="1"/>
  <c r="AC125" i="1" s="1"/>
  <c r="D126" i="1"/>
  <c r="D127" i="1"/>
  <c r="AC127" i="1" s="1"/>
  <c r="D128" i="1"/>
  <c r="AC128" i="1" s="1"/>
  <c r="D129" i="1"/>
  <c r="AC129" i="1" s="1"/>
  <c r="D130" i="1"/>
  <c r="AC130" i="1" s="1"/>
  <c r="D131" i="1"/>
  <c r="AC131" i="1" s="1"/>
  <c r="D132" i="1"/>
  <c r="AC132" i="1" s="1"/>
  <c r="D133" i="1"/>
  <c r="AC133" i="1" s="1"/>
  <c r="D134" i="1"/>
  <c r="AC134" i="1" s="1"/>
  <c r="D135" i="1"/>
  <c r="AC135" i="1" s="1"/>
  <c r="D136" i="1"/>
  <c r="AC136" i="1" s="1"/>
  <c r="D137" i="1"/>
  <c r="AC137" i="1" s="1"/>
  <c r="D138" i="1"/>
  <c r="AC138" i="1" s="1"/>
  <c r="D139" i="1"/>
  <c r="AC139" i="1" s="1"/>
  <c r="D140" i="1"/>
  <c r="AC140" i="1" s="1"/>
  <c r="D141" i="1"/>
  <c r="AC141" i="1" s="1"/>
  <c r="D142" i="1"/>
  <c r="AC142" i="1" s="1"/>
  <c r="D143" i="1"/>
  <c r="AC143" i="1" s="1"/>
  <c r="D144" i="1"/>
  <c r="AC144" i="1" s="1"/>
  <c r="D145" i="1"/>
  <c r="AC145" i="1" s="1"/>
  <c r="D146" i="1"/>
  <c r="AC146" i="1" s="1"/>
  <c r="D147" i="1"/>
  <c r="AC147" i="1" s="1"/>
  <c r="D148" i="1"/>
  <c r="AC148" i="1" s="1"/>
  <c r="D149" i="1"/>
  <c r="AC149" i="1" s="1"/>
  <c r="D150" i="1"/>
  <c r="AC150" i="1" s="1"/>
  <c r="D151" i="1"/>
  <c r="AC151" i="1" s="1"/>
  <c r="D152" i="1"/>
  <c r="AC152" i="1" s="1"/>
  <c r="D153" i="1"/>
  <c r="AC153" i="1" s="1"/>
  <c r="D154" i="1"/>
  <c r="AC154" i="1" s="1"/>
  <c r="D155" i="1"/>
  <c r="AC155" i="1" s="1"/>
  <c r="D156" i="1"/>
  <c r="AC156" i="1" s="1"/>
  <c r="D157" i="1"/>
  <c r="AC157" i="1" s="1"/>
  <c r="D158" i="1"/>
  <c r="AC158" i="1" s="1"/>
  <c r="D159" i="1"/>
  <c r="AC159" i="1" s="1"/>
  <c r="D160" i="1"/>
  <c r="AC160" i="1" s="1"/>
  <c r="D161" i="1"/>
  <c r="AC161" i="1" s="1"/>
  <c r="D162" i="1"/>
  <c r="AC162" i="1" s="1"/>
  <c r="D163" i="1"/>
  <c r="AC163" i="1" s="1"/>
  <c r="D164" i="1"/>
  <c r="AC164" i="1" s="1"/>
  <c r="D165" i="1"/>
  <c r="AC165" i="1" s="1"/>
  <c r="D166" i="1"/>
  <c r="AC166" i="1" s="1"/>
  <c r="D167" i="1"/>
  <c r="AC167" i="1" s="1"/>
  <c r="D168" i="1"/>
  <c r="AC168" i="1" s="1"/>
  <c r="D169" i="1"/>
  <c r="AC169" i="1" s="1"/>
  <c r="D170" i="1"/>
  <c r="AC170" i="1" s="1"/>
  <c r="D171" i="1"/>
  <c r="AC171" i="1" s="1"/>
  <c r="D172" i="1"/>
  <c r="AC172" i="1" s="1"/>
  <c r="D173" i="1"/>
  <c r="AC173" i="1" s="1"/>
  <c r="D174" i="1"/>
  <c r="AC174" i="1" s="1"/>
  <c r="D175" i="1"/>
  <c r="AC175" i="1" s="1"/>
  <c r="D176" i="1"/>
  <c r="AC176" i="1" s="1"/>
  <c r="D177" i="1"/>
  <c r="AC177" i="1" s="1"/>
  <c r="D178" i="1"/>
  <c r="AC178" i="1" s="1"/>
  <c r="D179" i="1"/>
  <c r="AC179" i="1" s="1"/>
  <c r="D180" i="1"/>
  <c r="AC180" i="1" s="1"/>
  <c r="D181" i="1"/>
  <c r="AC181" i="1" s="1"/>
  <c r="D182" i="1"/>
  <c r="AC182" i="1" s="1"/>
  <c r="D183" i="1"/>
  <c r="AC183" i="1" s="1"/>
  <c r="D184" i="1"/>
  <c r="AC184" i="1" s="1"/>
  <c r="D185" i="1"/>
  <c r="AC185" i="1" s="1"/>
  <c r="D186" i="1"/>
  <c r="AC186" i="1" s="1"/>
  <c r="D187" i="1"/>
  <c r="AC187" i="1" s="1"/>
  <c r="D188" i="1"/>
  <c r="AC188" i="1" s="1"/>
  <c r="D189" i="1"/>
  <c r="AC189" i="1" s="1"/>
  <c r="D190" i="1"/>
  <c r="AC190" i="1" s="1"/>
  <c r="D191" i="1"/>
  <c r="AC191" i="1" s="1"/>
  <c r="D192" i="1"/>
  <c r="AC192" i="1" s="1"/>
  <c r="D193" i="1"/>
  <c r="AC193" i="1" s="1"/>
  <c r="D194" i="1"/>
  <c r="AC194" i="1" s="1"/>
  <c r="D195" i="1"/>
  <c r="AC195" i="1" s="1"/>
  <c r="D196" i="1"/>
  <c r="AC196" i="1" s="1"/>
  <c r="D197" i="1"/>
  <c r="AC197" i="1" s="1"/>
  <c r="D198" i="1"/>
  <c r="AC198" i="1" s="1"/>
  <c r="D199" i="1"/>
  <c r="AC199" i="1" s="1"/>
  <c r="D200" i="1"/>
  <c r="AC200" i="1" s="1"/>
  <c r="D201" i="1"/>
  <c r="AC201" i="1" s="1"/>
  <c r="D202" i="1"/>
  <c r="AC202" i="1" s="1"/>
  <c r="D203" i="1"/>
  <c r="D204" i="1"/>
  <c r="AC204" i="1" s="1"/>
  <c r="D205" i="1"/>
  <c r="AC205" i="1" s="1"/>
  <c r="D206" i="1"/>
  <c r="AC206" i="1" s="1"/>
  <c r="D207" i="1"/>
  <c r="AC207" i="1" s="1"/>
  <c r="D208" i="1"/>
  <c r="AC208" i="1" s="1"/>
  <c r="D209" i="1"/>
  <c r="AC209" i="1" s="1"/>
  <c r="D210" i="1"/>
  <c r="AC210" i="1" s="1"/>
  <c r="D211" i="1"/>
  <c r="AC211" i="1" s="1"/>
  <c r="D212" i="1"/>
  <c r="AC212" i="1" s="1"/>
  <c r="D213" i="1"/>
  <c r="AC213" i="1" s="1"/>
  <c r="D214" i="1"/>
  <c r="AC214" i="1" s="1"/>
  <c r="D215" i="1"/>
  <c r="AC215" i="1" s="1"/>
  <c r="D216" i="1"/>
  <c r="AC216" i="1" s="1"/>
  <c r="D217" i="1"/>
  <c r="AC217" i="1" s="1"/>
  <c r="D218" i="1"/>
  <c r="AC218" i="1" s="1"/>
  <c r="D219" i="1"/>
  <c r="AC219" i="1" s="1"/>
  <c r="D220" i="1"/>
  <c r="AC220" i="1" s="1"/>
  <c r="D221" i="1"/>
  <c r="AC221" i="1" s="1"/>
  <c r="D222" i="1"/>
  <c r="AC222" i="1" s="1"/>
  <c r="D223" i="1"/>
  <c r="AC223" i="1" s="1"/>
  <c r="D224" i="1"/>
  <c r="AC224" i="1" s="1"/>
  <c r="D225" i="1"/>
  <c r="AC225" i="1" s="1"/>
  <c r="D226" i="1"/>
  <c r="AC226" i="1" s="1"/>
  <c r="D227" i="1"/>
  <c r="AC227" i="1" s="1"/>
  <c r="D228" i="1"/>
  <c r="AC228" i="1" s="1"/>
  <c r="D229" i="1"/>
  <c r="AC229" i="1" s="1"/>
  <c r="D230" i="1"/>
  <c r="AC230" i="1" s="1"/>
  <c r="D231" i="1"/>
  <c r="AC231" i="1" s="1"/>
  <c r="D232" i="1"/>
  <c r="AC232" i="1" s="1"/>
  <c r="D233" i="1"/>
  <c r="AC233" i="1" s="1"/>
  <c r="D234" i="1"/>
  <c r="AC234" i="1" s="1"/>
  <c r="D235" i="1"/>
  <c r="AC235" i="1" s="1"/>
  <c r="D236" i="1"/>
  <c r="AC236" i="1" s="1"/>
  <c r="D237" i="1"/>
  <c r="AC237" i="1" s="1"/>
  <c r="D238" i="1"/>
  <c r="AC238" i="1" s="1"/>
  <c r="D239" i="1"/>
  <c r="AC239" i="1" s="1"/>
  <c r="D240" i="1"/>
  <c r="AC240" i="1" s="1"/>
  <c r="D241" i="1"/>
  <c r="AC241" i="1" s="1"/>
  <c r="D242" i="1"/>
  <c r="AC242" i="1" s="1"/>
  <c r="D243" i="1"/>
  <c r="AC243" i="1" s="1"/>
  <c r="D244" i="1"/>
  <c r="AC244" i="1" s="1"/>
  <c r="D245" i="1"/>
  <c r="AC245" i="1" s="1"/>
  <c r="D246" i="1"/>
  <c r="AC246" i="1" s="1"/>
  <c r="D247" i="1"/>
  <c r="AC247" i="1" s="1"/>
  <c r="D248" i="1"/>
  <c r="AC248" i="1" s="1"/>
  <c r="D249" i="1"/>
  <c r="AC249" i="1" s="1"/>
  <c r="D250" i="1"/>
  <c r="AC250" i="1" s="1"/>
  <c r="D251" i="1"/>
  <c r="AC251" i="1" s="1"/>
  <c r="D252" i="1"/>
  <c r="AC252" i="1" s="1"/>
  <c r="D253" i="1"/>
  <c r="AC253" i="1" s="1"/>
  <c r="D254" i="1"/>
  <c r="AC254" i="1" s="1"/>
  <c r="D255" i="1"/>
  <c r="AC255" i="1" s="1"/>
  <c r="D256" i="1"/>
  <c r="AC256" i="1" s="1"/>
  <c r="D257" i="1"/>
  <c r="AC257" i="1" s="1"/>
  <c r="D258" i="1"/>
  <c r="AC258" i="1" s="1"/>
  <c r="D259" i="1"/>
  <c r="AC259" i="1" s="1"/>
  <c r="D260" i="1"/>
  <c r="AC260" i="1" s="1"/>
  <c r="D261" i="1"/>
  <c r="AC261" i="1" s="1"/>
  <c r="D262" i="1"/>
  <c r="AC262" i="1" s="1"/>
  <c r="D263" i="1"/>
  <c r="AC263" i="1" s="1"/>
  <c r="D264" i="1"/>
  <c r="AC264" i="1" s="1"/>
  <c r="D265" i="1"/>
  <c r="AC265" i="1" s="1"/>
  <c r="D266" i="1"/>
  <c r="AC266" i="1" s="1"/>
  <c r="D267" i="1"/>
  <c r="AC267" i="1" s="1"/>
  <c r="D268" i="1"/>
  <c r="AC268" i="1" s="1"/>
  <c r="D269" i="1"/>
  <c r="AC269" i="1" s="1"/>
  <c r="D270" i="1"/>
  <c r="AC270" i="1" s="1"/>
  <c r="D271" i="1"/>
  <c r="AC271" i="1" s="1"/>
  <c r="D272" i="1"/>
  <c r="AC272" i="1" s="1"/>
  <c r="D273" i="1"/>
  <c r="AC273" i="1" s="1"/>
  <c r="D274" i="1"/>
  <c r="AC274" i="1" s="1"/>
  <c r="D275" i="1"/>
  <c r="AC275" i="1" s="1"/>
  <c r="D276" i="1"/>
  <c r="AC276" i="1" s="1"/>
  <c r="D277" i="1"/>
  <c r="AC277" i="1" s="1"/>
  <c r="D278" i="1"/>
  <c r="D279" i="1"/>
  <c r="AC279" i="1" s="1"/>
  <c r="D280" i="1"/>
  <c r="AC280" i="1" s="1"/>
  <c r="D281" i="1"/>
  <c r="AC281" i="1" s="1"/>
  <c r="D282" i="1"/>
  <c r="AC282" i="1" s="1"/>
  <c r="D283" i="1"/>
  <c r="AC283" i="1" s="1"/>
  <c r="D284" i="1"/>
  <c r="AC284" i="1" s="1"/>
  <c r="D285" i="1"/>
  <c r="AC285" i="1" s="1"/>
  <c r="D286" i="1"/>
  <c r="AC286" i="1" s="1"/>
  <c r="D287" i="1"/>
  <c r="AC287" i="1" s="1"/>
  <c r="D288" i="1"/>
  <c r="AC288" i="1" s="1"/>
  <c r="D289" i="1"/>
  <c r="AC289" i="1" s="1"/>
  <c r="D290" i="1"/>
  <c r="AC290" i="1" s="1"/>
  <c r="D291" i="1"/>
  <c r="AC291" i="1" s="1"/>
  <c r="D292" i="1"/>
  <c r="AC292" i="1" s="1"/>
  <c r="D293" i="1"/>
  <c r="AC293" i="1" s="1"/>
  <c r="D294" i="1"/>
  <c r="AC294" i="1" s="1"/>
  <c r="D295" i="1"/>
  <c r="AC295" i="1" s="1"/>
  <c r="D296" i="1"/>
  <c r="AC296" i="1" s="1"/>
  <c r="D297" i="1"/>
  <c r="AC297" i="1" s="1"/>
  <c r="D298" i="1"/>
  <c r="AC298" i="1" s="1"/>
  <c r="D299" i="1"/>
  <c r="AC299" i="1" s="1"/>
  <c r="D300" i="1"/>
  <c r="AC300" i="1" s="1"/>
  <c r="D301" i="1"/>
  <c r="AC301" i="1" s="1"/>
  <c r="D302" i="1"/>
  <c r="AC302" i="1" s="1"/>
  <c r="D303" i="1"/>
  <c r="AC303" i="1" s="1"/>
  <c r="D304" i="1"/>
  <c r="AC304" i="1" s="1"/>
  <c r="D305" i="1"/>
  <c r="AC305" i="1" s="1"/>
  <c r="D306" i="1"/>
  <c r="AC306" i="1" s="1"/>
  <c r="D307" i="1"/>
  <c r="AC307" i="1" s="1"/>
  <c r="D308" i="1"/>
  <c r="AC308" i="1" s="1"/>
  <c r="D309" i="1"/>
  <c r="AC309" i="1" s="1"/>
  <c r="D310" i="1"/>
  <c r="AC310" i="1" s="1"/>
  <c r="D311" i="1"/>
  <c r="AC311" i="1" s="1"/>
  <c r="D312" i="1"/>
  <c r="AC312" i="1" s="1"/>
  <c r="D313" i="1"/>
  <c r="AC313" i="1" s="1"/>
  <c r="D314" i="1"/>
  <c r="AC314" i="1" s="1"/>
  <c r="D315" i="1"/>
  <c r="AC315" i="1" s="1"/>
  <c r="D316" i="1"/>
  <c r="AC316" i="1" s="1"/>
  <c r="D317" i="1"/>
  <c r="AC317" i="1" s="1"/>
  <c r="D318" i="1"/>
  <c r="AC318" i="1" s="1"/>
  <c r="D319" i="1"/>
  <c r="AC319" i="1" s="1"/>
  <c r="D320" i="1"/>
  <c r="AC320" i="1" s="1"/>
  <c r="D321" i="1"/>
  <c r="AC321" i="1" s="1"/>
  <c r="D322" i="1"/>
  <c r="AC322" i="1" s="1"/>
  <c r="D323" i="1"/>
  <c r="AC323" i="1" s="1"/>
  <c r="D324" i="1"/>
  <c r="AC324" i="1" s="1"/>
  <c r="D325" i="1"/>
  <c r="AC325" i="1" s="1"/>
  <c r="D326" i="1"/>
  <c r="AC326" i="1" s="1"/>
  <c r="D327" i="1"/>
  <c r="AC327" i="1" s="1"/>
  <c r="D328" i="1"/>
  <c r="AC328" i="1" s="1"/>
  <c r="D329" i="1"/>
  <c r="AC329" i="1" s="1"/>
  <c r="D330" i="1"/>
  <c r="AC330" i="1" s="1"/>
  <c r="D331" i="1"/>
  <c r="AC331" i="1" s="1"/>
  <c r="D332" i="1"/>
  <c r="AC332" i="1" s="1"/>
  <c r="D333" i="1"/>
  <c r="AC333" i="1" s="1"/>
  <c r="D334" i="1"/>
  <c r="AC334" i="1" s="1"/>
  <c r="D335" i="1"/>
  <c r="AC335" i="1" s="1"/>
  <c r="D336" i="1"/>
  <c r="AC336" i="1" s="1"/>
  <c r="D337" i="1"/>
  <c r="AC337" i="1" s="1"/>
  <c r="D338" i="1"/>
  <c r="AC338" i="1" s="1"/>
  <c r="D339" i="1"/>
  <c r="AC339" i="1" s="1"/>
  <c r="D340" i="1"/>
  <c r="AC340" i="1" s="1"/>
  <c r="D341" i="1"/>
  <c r="AC341" i="1" s="1"/>
  <c r="D342" i="1"/>
  <c r="AC342" i="1" s="1"/>
  <c r="D343" i="1"/>
  <c r="AC343" i="1" s="1"/>
  <c r="D344" i="1"/>
  <c r="AC344" i="1" s="1"/>
  <c r="D345" i="1"/>
  <c r="AC345" i="1" s="1"/>
  <c r="D346" i="1"/>
  <c r="AC346" i="1" s="1"/>
  <c r="D347" i="1"/>
  <c r="AC347" i="1" s="1"/>
  <c r="D348" i="1"/>
  <c r="AC348" i="1" s="1"/>
  <c r="D349" i="1"/>
  <c r="AC349" i="1" s="1"/>
  <c r="D350" i="1"/>
  <c r="AC350" i="1" s="1"/>
  <c r="D351" i="1"/>
  <c r="AC351" i="1" s="1"/>
  <c r="D352" i="1"/>
  <c r="AC352" i="1" s="1"/>
  <c r="D353" i="1"/>
  <c r="AC353" i="1" s="1"/>
  <c r="D354" i="1"/>
  <c r="AC354" i="1" s="1"/>
  <c r="D355" i="1"/>
  <c r="AC355" i="1" s="1"/>
  <c r="D356" i="1"/>
  <c r="D357" i="1"/>
  <c r="AC357" i="1" s="1"/>
  <c r="D358" i="1"/>
  <c r="AC358" i="1" s="1"/>
  <c r="D359" i="1"/>
  <c r="AC359" i="1" s="1"/>
  <c r="D360" i="1"/>
  <c r="AC360" i="1" s="1"/>
  <c r="D361" i="1"/>
  <c r="AC361" i="1" s="1"/>
  <c r="D362" i="1"/>
  <c r="AC362" i="1" s="1"/>
  <c r="D363" i="1"/>
  <c r="AC363" i="1" s="1"/>
  <c r="D364" i="1"/>
  <c r="AC364" i="1" s="1"/>
  <c r="D365" i="1"/>
  <c r="AC365" i="1" s="1"/>
  <c r="D366" i="1"/>
  <c r="AC366" i="1" s="1"/>
  <c r="D367" i="1"/>
  <c r="AC367" i="1" s="1"/>
  <c r="D368" i="1"/>
  <c r="AC368" i="1" s="1"/>
  <c r="D369" i="1"/>
  <c r="AC369" i="1" s="1"/>
  <c r="D370" i="1"/>
  <c r="AC370" i="1" s="1"/>
  <c r="D371" i="1"/>
  <c r="AC371" i="1" s="1"/>
  <c r="D372" i="1"/>
  <c r="AC372" i="1" s="1"/>
  <c r="D373" i="1"/>
  <c r="AC373" i="1" s="1"/>
  <c r="D374" i="1"/>
  <c r="AC374" i="1" s="1"/>
  <c r="D375" i="1"/>
  <c r="AC375" i="1" s="1"/>
  <c r="D376" i="1"/>
  <c r="AC376" i="1" s="1"/>
  <c r="D377" i="1"/>
  <c r="AC377" i="1" s="1"/>
  <c r="D378" i="1"/>
  <c r="AC378" i="1" s="1"/>
  <c r="D379" i="1"/>
  <c r="AC379" i="1" s="1"/>
  <c r="D380" i="1"/>
  <c r="AC380" i="1" s="1"/>
  <c r="D381" i="1"/>
  <c r="AC381" i="1" s="1"/>
  <c r="D382" i="1"/>
  <c r="AC382" i="1" s="1"/>
  <c r="D383" i="1"/>
  <c r="AC383" i="1" s="1"/>
  <c r="D384" i="1"/>
  <c r="AC384" i="1" s="1"/>
  <c r="D385" i="1"/>
  <c r="AC385" i="1" s="1"/>
  <c r="D386" i="1"/>
  <c r="AC386" i="1" s="1"/>
  <c r="D387" i="1"/>
  <c r="AC387" i="1" s="1"/>
  <c r="D388" i="1"/>
  <c r="AC388" i="1" s="1"/>
  <c r="D389" i="1"/>
  <c r="AC389" i="1" s="1"/>
  <c r="D390" i="1"/>
  <c r="AC390" i="1" s="1"/>
  <c r="D391" i="1"/>
  <c r="AC391" i="1" s="1"/>
  <c r="D392" i="1"/>
  <c r="AC392" i="1" s="1"/>
  <c r="D393" i="1"/>
  <c r="AC393" i="1" s="1"/>
  <c r="D394" i="1"/>
  <c r="AC394" i="1" s="1"/>
  <c r="D395" i="1"/>
  <c r="AC395" i="1" s="1"/>
  <c r="D396" i="1"/>
  <c r="AC396" i="1" s="1"/>
  <c r="D397" i="1"/>
  <c r="AC397" i="1" s="1"/>
  <c r="D398" i="1"/>
  <c r="AC398" i="1" s="1"/>
  <c r="D399" i="1"/>
  <c r="AC399" i="1" s="1"/>
  <c r="D400" i="1"/>
  <c r="AC400" i="1" s="1"/>
  <c r="D401" i="1"/>
  <c r="AC401" i="1" s="1"/>
  <c r="D402" i="1"/>
  <c r="D403" i="1"/>
  <c r="AC403" i="1" s="1"/>
  <c r="D404" i="1"/>
  <c r="AC404" i="1" s="1"/>
  <c r="D405" i="1"/>
  <c r="AC405" i="1" s="1"/>
  <c r="D406" i="1"/>
  <c r="AC406" i="1" s="1"/>
  <c r="D407" i="1"/>
  <c r="AC407" i="1" s="1"/>
  <c r="D408" i="1"/>
  <c r="AC408" i="1" s="1"/>
  <c r="D409" i="1"/>
  <c r="AC409" i="1" s="1"/>
  <c r="D410" i="1"/>
  <c r="AC410" i="1" s="1"/>
  <c r="D411" i="1"/>
  <c r="AC411" i="1" s="1"/>
  <c r="D412" i="1"/>
  <c r="AC412" i="1" s="1"/>
  <c r="D413" i="1"/>
  <c r="AC413" i="1" s="1"/>
  <c r="D414" i="1"/>
  <c r="AC414" i="1" s="1"/>
  <c r="D415" i="1"/>
  <c r="AC415" i="1" s="1"/>
  <c r="D416" i="1"/>
  <c r="AC416" i="1" s="1"/>
  <c r="D417" i="1"/>
  <c r="AC417" i="1" s="1"/>
  <c r="D418" i="1"/>
  <c r="AC418" i="1" s="1"/>
  <c r="D419" i="1"/>
  <c r="AC419" i="1" s="1"/>
  <c r="D420" i="1"/>
  <c r="AC420" i="1" s="1"/>
  <c r="D421" i="1"/>
  <c r="AC421" i="1" s="1"/>
  <c r="D422" i="1"/>
  <c r="AC422" i="1" s="1"/>
  <c r="D423" i="1"/>
  <c r="AC423" i="1" s="1"/>
  <c r="D424" i="1"/>
  <c r="AC424" i="1" s="1"/>
  <c r="D425" i="1"/>
  <c r="AC425" i="1" s="1"/>
  <c r="D426" i="1"/>
  <c r="AC426" i="1" s="1"/>
  <c r="D427" i="1"/>
  <c r="AC427" i="1" s="1"/>
  <c r="D428" i="1"/>
  <c r="AC428" i="1" s="1"/>
  <c r="D429" i="1"/>
  <c r="AC429" i="1" s="1"/>
  <c r="D430" i="1"/>
  <c r="AC430" i="1" s="1"/>
  <c r="D431" i="1"/>
  <c r="AC431" i="1" s="1"/>
  <c r="D432" i="1"/>
  <c r="AC432" i="1" s="1"/>
  <c r="D433" i="1"/>
  <c r="AC433" i="1" s="1"/>
  <c r="D434" i="1"/>
  <c r="AC434" i="1" s="1"/>
  <c r="D435" i="1"/>
  <c r="AC435" i="1" s="1"/>
  <c r="D436" i="1"/>
  <c r="AC436" i="1" s="1"/>
  <c r="D437" i="1"/>
  <c r="AC437" i="1" s="1"/>
  <c r="D438" i="1"/>
  <c r="AC438" i="1" s="1"/>
  <c r="D439" i="1"/>
  <c r="AC439" i="1" s="1"/>
  <c r="D440" i="1"/>
  <c r="AC440" i="1" s="1"/>
  <c r="D441" i="1"/>
  <c r="AC441" i="1" s="1"/>
  <c r="D442" i="1"/>
  <c r="AC442" i="1" s="1"/>
  <c r="D443" i="1"/>
  <c r="AC443" i="1" s="1"/>
  <c r="D444" i="1"/>
  <c r="AC444" i="1" s="1"/>
  <c r="D445" i="1"/>
  <c r="AC445" i="1" s="1"/>
  <c r="D446" i="1"/>
  <c r="AC446" i="1" s="1"/>
  <c r="D447" i="1"/>
  <c r="AC447" i="1" s="1"/>
  <c r="D448" i="1"/>
  <c r="AC448" i="1" s="1"/>
  <c r="D449" i="1"/>
  <c r="AC449" i="1" s="1"/>
  <c r="D450" i="1"/>
  <c r="AC450" i="1" s="1"/>
  <c r="D451" i="1"/>
  <c r="AC451" i="1" s="1"/>
  <c r="D452" i="1"/>
  <c r="AC452" i="1" s="1"/>
  <c r="D453" i="1"/>
  <c r="AC453" i="1" s="1"/>
  <c r="D454" i="1"/>
  <c r="AC454" i="1" s="1"/>
  <c r="D455" i="1"/>
  <c r="AC455" i="1" s="1"/>
  <c r="D456" i="1"/>
  <c r="AC456" i="1" s="1"/>
  <c r="D457" i="1"/>
  <c r="AC457" i="1" s="1"/>
  <c r="D458" i="1"/>
  <c r="AC458" i="1" s="1"/>
  <c r="D459" i="1"/>
  <c r="AC459" i="1" s="1"/>
  <c r="D460" i="1"/>
  <c r="AC460" i="1" s="1"/>
  <c r="D461" i="1"/>
  <c r="AC461" i="1" s="1"/>
  <c r="D462" i="1"/>
  <c r="AC462" i="1" s="1"/>
  <c r="D463" i="1"/>
  <c r="AC463" i="1" s="1"/>
  <c r="D464" i="1"/>
  <c r="AC464" i="1" s="1"/>
  <c r="D465" i="1"/>
  <c r="AC465" i="1" s="1"/>
  <c r="D466" i="1"/>
  <c r="AC466" i="1" s="1"/>
  <c r="D467" i="1"/>
  <c r="AC467" i="1" s="1"/>
  <c r="D468" i="1"/>
  <c r="AC468" i="1" s="1"/>
  <c r="D469" i="1"/>
  <c r="AC469" i="1" s="1"/>
  <c r="D470" i="1"/>
  <c r="AC470" i="1" s="1"/>
  <c r="D471" i="1"/>
  <c r="AC471" i="1" s="1"/>
  <c r="D472" i="1"/>
  <c r="AC472" i="1" s="1"/>
  <c r="D473" i="1"/>
  <c r="AC473" i="1" s="1"/>
  <c r="D474" i="1"/>
  <c r="AC474" i="1" s="1"/>
  <c r="D475" i="1"/>
  <c r="AC475" i="1" s="1"/>
  <c r="D476" i="1"/>
  <c r="AC476" i="1" s="1"/>
  <c r="D477" i="1"/>
  <c r="AC477" i="1" s="1"/>
  <c r="D478" i="1"/>
  <c r="AC478" i="1" s="1"/>
  <c r="D479" i="1"/>
  <c r="AC479" i="1" s="1"/>
  <c r="D480" i="1"/>
  <c r="AC480" i="1" s="1"/>
  <c r="D481" i="1"/>
  <c r="AC481" i="1" s="1"/>
  <c r="D482" i="1"/>
  <c r="AC482" i="1" s="1"/>
  <c r="D483" i="1"/>
  <c r="AC483" i="1" s="1"/>
  <c r="D484" i="1"/>
  <c r="AC484" i="1" s="1"/>
  <c r="D485" i="1"/>
  <c r="AC485" i="1" s="1"/>
  <c r="D486" i="1"/>
  <c r="AC486" i="1" s="1"/>
  <c r="D487" i="1"/>
  <c r="AC487" i="1" s="1"/>
  <c r="D488" i="1"/>
  <c r="AC488" i="1" s="1"/>
  <c r="D489" i="1"/>
  <c r="AC489" i="1" s="1"/>
  <c r="D490" i="1"/>
  <c r="AC490" i="1" s="1"/>
  <c r="D491" i="1"/>
  <c r="AC491" i="1" s="1"/>
  <c r="D492" i="1"/>
  <c r="AC492" i="1" s="1"/>
  <c r="D493" i="1"/>
  <c r="AC493" i="1" s="1"/>
  <c r="D494" i="1"/>
  <c r="AC494" i="1" s="1"/>
  <c r="D495" i="1"/>
  <c r="AC495" i="1" s="1"/>
  <c r="D496" i="1"/>
  <c r="D497" i="1"/>
  <c r="AC497" i="1" s="1"/>
  <c r="D498" i="1"/>
  <c r="AC498" i="1" s="1"/>
  <c r="D499" i="1"/>
  <c r="AC499" i="1" s="1"/>
  <c r="D500" i="1"/>
  <c r="AC500" i="1" s="1"/>
  <c r="D501" i="1"/>
  <c r="AC501" i="1" s="1"/>
  <c r="D502" i="1"/>
  <c r="AC502" i="1" s="1"/>
  <c r="D503" i="1"/>
  <c r="AC503" i="1" s="1"/>
  <c r="D504" i="1"/>
  <c r="AC504" i="1" s="1"/>
  <c r="D505" i="1"/>
  <c r="AC505" i="1" s="1"/>
  <c r="D506" i="1"/>
  <c r="AC506" i="1" s="1"/>
  <c r="D507" i="1"/>
  <c r="AC507" i="1" s="1"/>
  <c r="D508" i="1"/>
  <c r="AC508" i="1" s="1"/>
  <c r="D509" i="1"/>
  <c r="AC509" i="1" s="1"/>
  <c r="D510" i="1"/>
  <c r="AC510" i="1" s="1"/>
  <c r="D511" i="1"/>
  <c r="AC511" i="1" s="1"/>
  <c r="D512" i="1"/>
  <c r="AC512" i="1" s="1"/>
  <c r="D513" i="1"/>
  <c r="AC513" i="1" s="1"/>
  <c r="D514" i="1"/>
  <c r="AC514" i="1" s="1"/>
  <c r="D515" i="1"/>
  <c r="AC515" i="1" s="1"/>
  <c r="D516" i="1"/>
  <c r="AC516" i="1" s="1"/>
  <c r="D517" i="1"/>
  <c r="D518" i="1"/>
  <c r="AC518" i="1" s="1"/>
  <c r="D519" i="1"/>
  <c r="AC519" i="1" s="1"/>
  <c r="D520" i="1"/>
  <c r="AC520" i="1" s="1"/>
  <c r="D521" i="1"/>
  <c r="AC521" i="1" s="1"/>
  <c r="D522" i="1"/>
  <c r="AC522" i="1" s="1"/>
  <c r="D523" i="1"/>
  <c r="AC523" i="1" s="1"/>
  <c r="D524" i="1"/>
  <c r="AC524" i="1" s="1"/>
  <c r="D525" i="1"/>
  <c r="AC525" i="1" s="1"/>
  <c r="D526" i="1"/>
  <c r="AC526" i="1" s="1"/>
  <c r="D527" i="1"/>
  <c r="AC527" i="1" s="1"/>
  <c r="D528" i="1"/>
  <c r="AC528" i="1" s="1"/>
  <c r="D529" i="1"/>
  <c r="AC529" i="1" s="1"/>
  <c r="D530" i="1"/>
  <c r="AC530" i="1" s="1"/>
  <c r="D531" i="1"/>
  <c r="AC531" i="1" s="1"/>
  <c r="D532" i="1"/>
  <c r="AC532" i="1" s="1"/>
  <c r="D533" i="1"/>
  <c r="AC533" i="1" s="1"/>
  <c r="D534" i="1"/>
  <c r="AC534" i="1" s="1"/>
  <c r="D535" i="1"/>
  <c r="AC535" i="1" s="1"/>
  <c r="D536" i="1"/>
  <c r="AC536" i="1" s="1"/>
  <c r="D537" i="1"/>
  <c r="AC537" i="1" s="1"/>
  <c r="D538" i="1"/>
  <c r="AC538" i="1" s="1"/>
  <c r="D539" i="1"/>
  <c r="AC539" i="1" s="1"/>
  <c r="D540" i="1"/>
  <c r="AC540" i="1" s="1"/>
  <c r="D541" i="1"/>
  <c r="AC541" i="1" s="1"/>
  <c r="D542" i="1"/>
  <c r="AC542" i="1" s="1"/>
  <c r="D543" i="1"/>
  <c r="AC543" i="1" s="1"/>
  <c r="D544" i="1"/>
  <c r="AC544" i="1" s="1"/>
  <c r="D545" i="1"/>
  <c r="AC545" i="1" s="1"/>
  <c r="D546" i="1"/>
  <c r="AC546" i="1" s="1"/>
  <c r="D547" i="1"/>
  <c r="AC547" i="1" s="1"/>
  <c r="D548" i="1"/>
  <c r="AC548" i="1" s="1"/>
  <c r="D549" i="1"/>
  <c r="AC549" i="1" s="1"/>
  <c r="D550" i="1"/>
  <c r="AC550" i="1" s="1"/>
  <c r="D551" i="1"/>
  <c r="AC551" i="1" s="1"/>
  <c r="D552" i="1"/>
  <c r="AC552" i="1" s="1"/>
  <c r="D553" i="1"/>
  <c r="AC553" i="1" s="1"/>
  <c r="D554" i="1"/>
  <c r="AC554" i="1" s="1"/>
  <c r="D555" i="1"/>
  <c r="AC555" i="1" s="1"/>
  <c r="D556" i="1"/>
  <c r="AC556" i="1" s="1"/>
  <c r="D557" i="1"/>
  <c r="AC557" i="1" s="1"/>
  <c r="D558" i="1"/>
  <c r="AC558" i="1" s="1"/>
  <c r="D559" i="1"/>
  <c r="AC559" i="1" s="1"/>
  <c r="D560" i="1"/>
  <c r="AC560" i="1" s="1"/>
  <c r="D561" i="1"/>
  <c r="AC561" i="1" s="1"/>
  <c r="D562" i="1"/>
  <c r="AC562" i="1" s="1"/>
  <c r="D563" i="1"/>
  <c r="AC563" i="1" s="1"/>
  <c r="D564" i="1"/>
  <c r="AC564" i="1" s="1"/>
  <c r="D565" i="1"/>
  <c r="AC565" i="1" s="1"/>
  <c r="D566" i="1"/>
  <c r="AC566" i="1" s="1"/>
  <c r="D567" i="1"/>
  <c r="AC567" i="1" s="1"/>
  <c r="D568" i="1"/>
  <c r="AC568" i="1" s="1"/>
  <c r="D569" i="1"/>
  <c r="AC569" i="1" s="1"/>
  <c r="D570" i="1"/>
  <c r="AC570" i="1" s="1"/>
  <c r="D571" i="1"/>
  <c r="AC571" i="1" s="1"/>
  <c r="D572" i="1"/>
  <c r="AC572" i="1" s="1"/>
  <c r="D573" i="1"/>
  <c r="AC573" i="1" s="1"/>
  <c r="D574" i="1"/>
  <c r="AC574" i="1" s="1"/>
  <c r="D575" i="1"/>
  <c r="AC575" i="1" s="1"/>
  <c r="D576" i="1"/>
  <c r="AC576" i="1" s="1"/>
  <c r="D577" i="1"/>
  <c r="AC577" i="1" s="1"/>
  <c r="D578" i="1"/>
  <c r="AC578" i="1" s="1"/>
  <c r="D579" i="1"/>
  <c r="AC579" i="1" s="1"/>
  <c r="D580" i="1"/>
  <c r="AC580" i="1" s="1"/>
  <c r="D581" i="1"/>
  <c r="AC581" i="1" s="1"/>
  <c r="D582" i="1"/>
  <c r="AC582" i="1" s="1"/>
  <c r="D583" i="1"/>
  <c r="AC583" i="1" s="1"/>
  <c r="D584" i="1"/>
  <c r="AC584" i="1" s="1"/>
  <c r="D585" i="1"/>
  <c r="AC585" i="1" s="1"/>
  <c r="D586" i="1"/>
  <c r="AC586" i="1" s="1"/>
  <c r="D587" i="1"/>
  <c r="AC587" i="1" s="1"/>
  <c r="D588" i="1"/>
  <c r="AC588" i="1" s="1"/>
  <c r="D589" i="1"/>
  <c r="AC589" i="1" s="1"/>
  <c r="D590" i="1"/>
  <c r="AC590" i="1" s="1"/>
  <c r="D591" i="1"/>
  <c r="AC591" i="1" s="1"/>
  <c r="D592" i="1"/>
  <c r="AC592" i="1" s="1"/>
  <c r="D593" i="1"/>
  <c r="AC593" i="1" s="1"/>
  <c r="D594" i="1"/>
  <c r="AC594" i="1" s="1"/>
  <c r="D595" i="1"/>
  <c r="AC595" i="1" s="1"/>
  <c r="D596" i="1"/>
  <c r="AC596" i="1" s="1"/>
  <c r="D597" i="1"/>
  <c r="AC597" i="1" s="1"/>
  <c r="D598" i="1"/>
  <c r="AC598" i="1" s="1"/>
  <c r="D599" i="1"/>
  <c r="AC599" i="1" s="1"/>
  <c r="D600" i="1"/>
  <c r="AC600" i="1" s="1"/>
  <c r="D601" i="1"/>
  <c r="AC601" i="1" s="1"/>
  <c r="D602" i="1"/>
  <c r="AC602" i="1" s="1"/>
  <c r="D603" i="1"/>
  <c r="AC603" i="1" s="1"/>
  <c r="D604" i="1"/>
  <c r="AC604" i="1" s="1"/>
  <c r="D605" i="1"/>
  <c r="AC605" i="1" s="1"/>
  <c r="D606" i="1"/>
  <c r="AC606" i="1" s="1"/>
  <c r="D607" i="1"/>
  <c r="AC607" i="1" s="1"/>
  <c r="D608" i="1"/>
  <c r="AC608" i="1" s="1"/>
  <c r="D609" i="1"/>
  <c r="AC609" i="1" s="1"/>
  <c r="D610" i="1"/>
  <c r="AC610" i="1" s="1"/>
  <c r="D611" i="1"/>
  <c r="AC611" i="1" s="1"/>
  <c r="D612" i="1"/>
  <c r="AC612" i="1" s="1"/>
  <c r="D613" i="1"/>
  <c r="AC613" i="1" s="1"/>
  <c r="D614" i="1"/>
  <c r="AC614" i="1" s="1"/>
  <c r="D615" i="1"/>
  <c r="AC615" i="1" s="1"/>
  <c r="D616" i="1"/>
  <c r="AC616" i="1" s="1"/>
  <c r="D617" i="1"/>
  <c r="AC617" i="1" s="1"/>
  <c r="D618" i="1"/>
  <c r="AC618" i="1" s="1"/>
  <c r="D619" i="1"/>
  <c r="AC619" i="1" s="1"/>
  <c r="D620" i="1"/>
  <c r="AC620" i="1" s="1"/>
  <c r="D621" i="1"/>
  <c r="AC621" i="1" s="1"/>
  <c r="D622" i="1"/>
  <c r="AC622" i="1" s="1"/>
  <c r="D623" i="1"/>
  <c r="AC623" i="1" s="1"/>
  <c r="D624" i="1"/>
  <c r="AC624" i="1" s="1"/>
  <c r="D625" i="1"/>
  <c r="AC625" i="1" s="1"/>
  <c r="D626" i="1"/>
  <c r="AC626" i="1" s="1"/>
  <c r="D627" i="1"/>
  <c r="AC627" i="1" s="1"/>
  <c r="D628" i="1"/>
  <c r="AC628" i="1" s="1"/>
  <c r="D629" i="1"/>
  <c r="AC629" i="1" s="1"/>
  <c r="D630" i="1"/>
  <c r="AC630" i="1" s="1"/>
  <c r="D631" i="1"/>
  <c r="AC631" i="1" s="1"/>
  <c r="D632" i="1"/>
  <c r="AC632" i="1" s="1"/>
  <c r="D633" i="1"/>
  <c r="AC633" i="1" s="1"/>
  <c r="D634" i="1"/>
  <c r="AC634" i="1" s="1"/>
  <c r="D635" i="1"/>
  <c r="AC635" i="1" s="1"/>
  <c r="D636" i="1"/>
  <c r="AC636" i="1" s="1"/>
  <c r="D637" i="1"/>
  <c r="AC637" i="1" s="1"/>
  <c r="D638" i="1"/>
  <c r="AC638" i="1" s="1"/>
  <c r="D639" i="1"/>
  <c r="AC639" i="1" s="1"/>
  <c r="D640" i="1"/>
  <c r="AC640" i="1" s="1"/>
  <c r="D641" i="1"/>
  <c r="AC641" i="1" s="1"/>
  <c r="D642" i="1"/>
  <c r="AC642" i="1" s="1"/>
  <c r="D643" i="1"/>
  <c r="AC643" i="1" s="1"/>
  <c r="D644" i="1"/>
  <c r="AC644" i="1" s="1"/>
  <c r="D645" i="1"/>
  <c r="AC645" i="1" s="1"/>
  <c r="D646" i="1"/>
  <c r="AC646" i="1" s="1"/>
  <c r="D647" i="1"/>
  <c r="AC647" i="1" s="1"/>
  <c r="D648" i="1"/>
  <c r="AC648" i="1" s="1"/>
  <c r="D649" i="1"/>
  <c r="AC649" i="1" s="1"/>
  <c r="D650" i="1"/>
  <c r="AC650" i="1" s="1"/>
  <c r="D651" i="1"/>
  <c r="AC651" i="1" s="1"/>
  <c r="D652" i="1"/>
  <c r="AC652" i="1" s="1"/>
  <c r="D653" i="1"/>
  <c r="AC653" i="1" s="1"/>
  <c r="D654" i="1"/>
  <c r="AC654" i="1" s="1"/>
  <c r="D655" i="1"/>
  <c r="AC655" i="1" s="1"/>
  <c r="D656" i="1"/>
  <c r="AC656" i="1" s="1"/>
  <c r="D657" i="1"/>
  <c r="AC657" i="1" s="1"/>
  <c r="D658" i="1"/>
  <c r="D659" i="1"/>
  <c r="AC659" i="1" s="1"/>
  <c r="D660" i="1"/>
  <c r="AC660" i="1" s="1"/>
  <c r="D661" i="1"/>
  <c r="AC661" i="1" s="1"/>
  <c r="D662" i="1"/>
  <c r="AC662" i="1" s="1"/>
  <c r="D663" i="1"/>
  <c r="AC663" i="1" s="1"/>
  <c r="D664" i="1"/>
  <c r="AC664" i="1" s="1"/>
  <c r="D665" i="1"/>
  <c r="D666" i="1"/>
  <c r="AC666" i="1" s="1"/>
  <c r="D667" i="1"/>
  <c r="AC667" i="1" s="1"/>
  <c r="D668" i="1"/>
  <c r="AC668" i="1" s="1"/>
  <c r="D669" i="1"/>
  <c r="AC669" i="1" s="1"/>
  <c r="D670" i="1"/>
  <c r="AC670" i="1" s="1"/>
  <c r="D671" i="1"/>
  <c r="AC671" i="1" s="1"/>
  <c r="D672" i="1"/>
  <c r="AC672" i="1" s="1"/>
  <c r="D673" i="1"/>
  <c r="AC673" i="1" s="1"/>
  <c r="D674" i="1"/>
  <c r="AC674" i="1" s="1"/>
  <c r="D675" i="1"/>
  <c r="AC675" i="1" s="1"/>
  <c r="D676" i="1"/>
  <c r="AC676" i="1" s="1"/>
  <c r="D677" i="1"/>
  <c r="AC677" i="1" s="1"/>
  <c r="D678" i="1"/>
  <c r="AC678" i="1" s="1"/>
  <c r="D679" i="1"/>
  <c r="AC679" i="1" s="1"/>
  <c r="D680" i="1"/>
  <c r="AC680" i="1" s="1"/>
  <c r="D681" i="1"/>
  <c r="AC681" i="1" s="1"/>
  <c r="D682" i="1"/>
  <c r="AC682" i="1" s="1"/>
  <c r="D683" i="1"/>
  <c r="AC683" i="1" s="1"/>
  <c r="D684" i="1"/>
  <c r="AC684" i="1" s="1"/>
  <c r="D685" i="1"/>
  <c r="AC685" i="1" s="1"/>
  <c r="D686" i="1"/>
  <c r="AC686" i="1" s="1"/>
  <c r="D687" i="1"/>
  <c r="AC687" i="1" s="1"/>
  <c r="D688" i="1"/>
  <c r="AC688" i="1" s="1"/>
  <c r="D689" i="1"/>
  <c r="AC689" i="1" s="1"/>
  <c r="D690" i="1"/>
  <c r="AC690" i="1" s="1"/>
  <c r="D691" i="1"/>
  <c r="AC691" i="1" s="1"/>
  <c r="D692" i="1"/>
  <c r="AC692" i="1" s="1"/>
  <c r="D693" i="1"/>
  <c r="AC693" i="1" s="1"/>
  <c r="D694" i="1"/>
  <c r="AC694" i="1" s="1"/>
  <c r="D695" i="1"/>
  <c r="AC695" i="1" s="1"/>
  <c r="D696" i="1"/>
  <c r="AC696" i="1" s="1"/>
  <c r="D697" i="1"/>
  <c r="AC697" i="1" s="1"/>
  <c r="D698" i="1"/>
  <c r="AC698" i="1" s="1"/>
  <c r="D699" i="1"/>
  <c r="AC699" i="1" s="1"/>
  <c r="D700" i="1"/>
  <c r="AC700" i="1" s="1"/>
  <c r="D701" i="1"/>
  <c r="AC701" i="1" s="1"/>
  <c r="D702" i="1"/>
  <c r="AC702" i="1" s="1"/>
  <c r="D703" i="1"/>
  <c r="AC703" i="1" s="1"/>
  <c r="D704" i="1"/>
  <c r="AC704" i="1" s="1"/>
  <c r="D705" i="1"/>
  <c r="AC705" i="1" s="1"/>
  <c r="D706" i="1"/>
  <c r="AC706" i="1" s="1"/>
  <c r="D707" i="1"/>
  <c r="AC707" i="1" s="1"/>
  <c r="D708" i="1"/>
  <c r="AC708" i="1" s="1"/>
  <c r="D709" i="1"/>
  <c r="AC709" i="1" s="1"/>
  <c r="D710" i="1"/>
  <c r="AC710" i="1" s="1"/>
  <c r="D711" i="1"/>
  <c r="AC711" i="1" s="1"/>
  <c r="D712" i="1"/>
  <c r="AC712" i="1" s="1"/>
  <c r="D713" i="1"/>
  <c r="AC713" i="1" s="1"/>
  <c r="D714" i="1"/>
  <c r="AC714" i="1" s="1"/>
  <c r="D715" i="1"/>
  <c r="AC715" i="1" s="1"/>
  <c r="D716" i="1"/>
  <c r="AC716" i="1" s="1"/>
  <c r="D717" i="1"/>
  <c r="AC717" i="1" s="1"/>
  <c r="D718" i="1"/>
  <c r="AC718" i="1" s="1"/>
  <c r="D719" i="1"/>
  <c r="AC719" i="1" s="1"/>
  <c r="D720" i="1"/>
  <c r="AC720" i="1" s="1"/>
  <c r="D721" i="1"/>
  <c r="AC721" i="1" s="1"/>
  <c r="D722" i="1"/>
  <c r="AC722" i="1" s="1"/>
  <c r="D723" i="1"/>
  <c r="AC723" i="1" s="1"/>
  <c r="D724" i="1"/>
  <c r="AC724" i="1" s="1"/>
  <c r="D725" i="1"/>
  <c r="AC725" i="1" s="1"/>
  <c r="D726" i="1"/>
  <c r="AC726" i="1" s="1"/>
  <c r="D727" i="1"/>
  <c r="AC727" i="1" s="1"/>
  <c r="D728" i="1"/>
  <c r="AC728" i="1" s="1"/>
  <c r="D729" i="1"/>
  <c r="AC729" i="1" s="1"/>
  <c r="D730" i="1"/>
  <c r="AC730" i="1" s="1"/>
  <c r="D731" i="1"/>
  <c r="AC731" i="1" s="1"/>
  <c r="D732" i="1"/>
  <c r="AC732" i="1" s="1"/>
  <c r="D733" i="1"/>
  <c r="AC733" i="1" s="1"/>
  <c r="D734" i="1"/>
  <c r="AC734" i="1" s="1"/>
  <c r="D735" i="1"/>
  <c r="AC735" i="1" s="1"/>
  <c r="D736" i="1"/>
  <c r="AC736" i="1" s="1"/>
  <c r="D737" i="1"/>
  <c r="AC737" i="1" s="1"/>
  <c r="D738" i="1"/>
  <c r="AC738" i="1" s="1"/>
  <c r="D739" i="1"/>
  <c r="AC739" i="1" s="1"/>
  <c r="D740" i="1"/>
  <c r="AC740" i="1" s="1"/>
  <c r="D741" i="1"/>
  <c r="AC741" i="1" s="1"/>
  <c r="D742" i="1"/>
  <c r="AC742" i="1" s="1"/>
  <c r="D743" i="1"/>
  <c r="AC743" i="1" s="1"/>
  <c r="D744" i="1"/>
  <c r="AC744" i="1" s="1"/>
  <c r="D745" i="1"/>
  <c r="AC745" i="1" s="1"/>
  <c r="D746" i="1"/>
  <c r="AC746" i="1" s="1"/>
  <c r="D747" i="1"/>
  <c r="AC747" i="1" s="1"/>
  <c r="D748" i="1"/>
  <c r="AC748" i="1" s="1"/>
  <c r="D749" i="1"/>
  <c r="AC749" i="1" s="1"/>
  <c r="D750" i="1"/>
  <c r="AC750" i="1" s="1"/>
  <c r="D751" i="1"/>
  <c r="AC751" i="1" s="1"/>
  <c r="D752" i="1"/>
  <c r="AC752" i="1" s="1"/>
  <c r="D753" i="1"/>
  <c r="AC753" i="1" s="1"/>
  <c r="D754" i="1"/>
  <c r="AC754" i="1" s="1"/>
  <c r="D755" i="1"/>
  <c r="AC755" i="1" s="1"/>
  <c r="D756" i="1"/>
  <c r="AC756" i="1" s="1"/>
  <c r="D757" i="1"/>
  <c r="AC757" i="1" s="1"/>
  <c r="D758" i="1"/>
  <c r="AC758" i="1" s="1"/>
  <c r="D759" i="1"/>
  <c r="AC759" i="1" s="1"/>
  <c r="D760" i="1"/>
  <c r="AC760" i="1" s="1"/>
  <c r="D761" i="1"/>
  <c r="AC761" i="1" s="1"/>
  <c r="D762" i="1"/>
  <c r="AC762" i="1" s="1"/>
  <c r="D763" i="1"/>
  <c r="AC763" i="1" s="1"/>
  <c r="D764" i="1"/>
  <c r="AC764" i="1" s="1"/>
  <c r="D765" i="1"/>
  <c r="AC765" i="1" s="1"/>
  <c r="D766" i="1"/>
  <c r="AC766" i="1" s="1"/>
  <c r="D767" i="1"/>
  <c r="AC767" i="1" s="1"/>
  <c r="D768" i="1"/>
  <c r="AC768" i="1" s="1"/>
  <c r="D769" i="1"/>
  <c r="AC769" i="1" s="1"/>
  <c r="D770" i="1"/>
  <c r="AC770" i="1" s="1"/>
  <c r="D771" i="1"/>
  <c r="AC771" i="1" s="1"/>
  <c r="D772" i="1"/>
  <c r="AC772" i="1" s="1"/>
  <c r="D773" i="1"/>
  <c r="AC773" i="1" s="1"/>
  <c r="D774" i="1"/>
  <c r="AC774" i="1" s="1"/>
  <c r="D775" i="1"/>
  <c r="AC775" i="1" s="1"/>
  <c r="D776" i="1"/>
  <c r="AC776" i="1" s="1"/>
  <c r="D777" i="1"/>
  <c r="AC777" i="1" s="1"/>
  <c r="D778" i="1"/>
  <c r="AC778" i="1" s="1"/>
  <c r="D779" i="1"/>
  <c r="AC779" i="1" s="1"/>
  <c r="D780" i="1"/>
  <c r="AC780" i="1" s="1"/>
  <c r="D781" i="1"/>
  <c r="AC781" i="1" s="1"/>
  <c r="D782" i="1"/>
  <c r="AC782" i="1" s="1"/>
  <c r="D783" i="1"/>
  <c r="AC783" i="1" s="1"/>
  <c r="D784" i="1"/>
  <c r="AC784" i="1" s="1"/>
  <c r="D785" i="1"/>
  <c r="AC785" i="1" s="1"/>
  <c r="D786" i="1"/>
  <c r="AC786" i="1" s="1"/>
  <c r="D787" i="1"/>
  <c r="AC787" i="1" s="1"/>
  <c r="D788" i="1"/>
  <c r="AC788" i="1" s="1"/>
  <c r="D789" i="1"/>
  <c r="AC789" i="1" s="1"/>
  <c r="D790" i="1"/>
  <c r="AC790" i="1" s="1"/>
  <c r="D791" i="1"/>
  <c r="AC791" i="1" s="1"/>
  <c r="D792" i="1"/>
  <c r="AC792" i="1" s="1"/>
  <c r="D793" i="1"/>
  <c r="AC793" i="1" s="1"/>
  <c r="D794" i="1"/>
  <c r="AC794" i="1" s="1"/>
  <c r="D795" i="1"/>
  <c r="AC795" i="1" s="1"/>
  <c r="D796" i="1"/>
  <c r="AC796" i="1" s="1"/>
  <c r="D797" i="1"/>
  <c r="AC797" i="1" s="1"/>
  <c r="D798" i="1"/>
  <c r="AC798" i="1" s="1"/>
  <c r="D799" i="1"/>
  <c r="AC799" i="1" s="1"/>
  <c r="D800" i="1"/>
  <c r="AC800" i="1" s="1"/>
  <c r="D801" i="1"/>
  <c r="AC801" i="1" s="1"/>
  <c r="D802" i="1"/>
  <c r="AC802" i="1" s="1"/>
  <c r="D803" i="1"/>
  <c r="AC803" i="1" s="1"/>
  <c r="D804" i="1"/>
  <c r="AC804" i="1" s="1"/>
  <c r="D805" i="1"/>
  <c r="AC805" i="1" s="1"/>
  <c r="D806" i="1"/>
  <c r="AC806" i="1" s="1"/>
  <c r="D807" i="1"/>
  <c r="AC807" i="1" s="1"/>
  <c r="D808" i="1"/>
  <c r="AC808" i="1" s="1"/>
  <c r="D809" i="1"/>
  <c r="AC809" i="1" s="1"/>
  <c r="D810" i="1"/>
  <c r="AC810" i="1" s="1"/>
  <c r="D811" i="1"/>
  <c r="AC811" i="1" s="1"/>
  <c r="D812" i="1"/>
  <c r="AC812" i="1" s="1"/>
  <c r="D813" i="1"/>
  <c r="AC813" i="1" s="1"/>
  <c r="D814" i="1"/>
  <c r="AC814" i="1" s="1"/>
  <c r="D815" i="1"/>
  <c r="AC815" i="1" s="1"/>
  <c r="D816" i="1"/>
  <c r="AC816" i="1" s="1"/>
  <c r="D817" i="1"/>
  <c r="AC817" i="1" s="1"/>
  <c r="D818" i="1"/>
  <c r="AC818" i="1" s="1"/>
  <c r="D819" i="1"/>
  <c r="AC819" i="1" s="1"/>
  <c r="D820" i="1"/>
  <c r="D821" i="1"/>
  <c r="AC821" i="1" s="1"/>
  <c r="D822" i="1"/>
  <c r="AC822" i="1" s="1"/>
  <c r="D823" i="1"/>
  <c r="AC823" i="1" s="1"/>
  <c r="D824" i="1"/>
  <c r="AC824" i="1" s="1"/>
  <c r="D825" i="1"/>
  <c r="AC825" i="1" s="1"/>
  <c r="D826" i="1"/>
  <c r="AC826" i="1" s="1"/>
  <c r="D827" i="1"/>
  <c r="AC827" i="1" s="1"/>
  <c r="D828" i="1"/>
  <c r="AC828" i="1" s="1"/>
  <c r="D829" i="1"/>
  <c r="AC829" i="1" s="1"/>
  <c r="D830" i="1"/>
  <c r="AC830" i="1" s="1"/>
  <c r="D831" i="1"/>
  <c r="AC831" i="1" s="1"/>
  <c r="D832" i="1"/>
  <c r="AC832" i="1" s="1"/>
  <c r="D833" i="1"/>
  <c r="AC833" i="1" s="1"/>
  <c r="D834" i="1"/>
  <c r="AC834" i="1" s="1"/>
  <c r="D835" i="1"/>
  <c r="AC835" i="1" s="1"/>
  <c r="D836" i="1"/>
  <c r="AC836" i="1" s="1"/>
  <c r="D837" i="1"/>
  <c r="AC837" i="1" s="1"/>
  <c r="D838" i="1"/>
  <c r="AC838" i="1" s="1"/>
  <c r="D839" i="1"/>
  <c r="AC839" i="1" s="1"/>
  <c r="D840" i="1"/>
  <c r="AC840" i="1" s="1"/>
  <c r="D841" i="1"/>
  <c r="AC841" i="1" s="1"/>
  <c r="D842" i="1"/>
  <c r="AC842" i="1" s="1"/>
  <c r="D843" i="1"/>
  <c r="AC843" i="1" s="1"/>
  <c r="D844" i="1"/>
  <c r="AC844" i="1" s="1"/>
  <c r="D845" i="1"/>
  <c r="D846" i="1"/>
  <c r="AC846" i="1" s="1"/>
  <c r="D847" i="1"/>
  <c r="AC847" i="1" s="1"/>
  <c r="D848" i="1"/>
  <c r="AC848" i="1" s="1"/>
  <c r="D849" i="1"/>
  <c r="AC849" i="1" s="1"/>
  <c r="D850" i="1"/>
  <c r="AC850" i="1" s="1"/>
  <c r="D851" i="1"/>
  <c r="AC851" i="1" s="1"/>
  <c r="D852" i="1"/>
  <c r="AC852" i="1" s="1"/>
  <c r="D853" i="1"/>
  <c r="AC853" i="1" s="1"/>
  <c r="D854" i="1"/>
  <c r="AC854" i="1" s="1"/>
  <c r="D855" i="1"/>
  <c r="AC855" i="1" s="1"/>
  <c r="D856" i="1"/>
  <c r="AC856" i="1" s="1"/>
  <c r="D857" i="1"/>
  <c r="AC857" i="1" s="1"/>
  <c r="D858" i="1"/>
  <c r="D859" i="1"/>
  <c r="AC859" i="1" s="1"/>
  <c r="D860" i="1"/>
  <c r="AC860" i="1" s="1"/>
  <c r="D861" i="1"/>
  <c r="AC861" i="1" s="1"/>
  <c r="D862" i="1"/>
  <c r="AC862" i="1" s="1"/>
  <c r="D863" i="1"/>
  <c r="AC863" i="1" s="1"/>
  <c r="D864" i="1"/>
  <c r="AC864" i="1" s="1"/>
  <c r="D865" i="1"/>
  <c r="AC865" i="1" s="1"/>
  <c r="D866" i="1"/>
  <c r="AC866" i="1" s="1"/>
  <c r="D867" i="1"/>
  <c r="AC867" i="1" s="1"/>
  <c r="D868" i="1"/>
  <c r="AC868" i="1" s="1"/>
  <c r="D869" i="1"/>
  <c r="AC869" i="1" s="1"/>
  <c r="D870" i="1"/>
  <c r="AC870" i="1" s="1"/>
  <c r="D871" i="1"/>
  <c r="AC871" i="1" s="1"/>
  <c r="D872" i="1"/>
  <c r="AC872" i="1" s="1"/>
  <c r="D873" i="1"/>
  <c r="AC873" i="1" s="1"/>
  <c r="D874" i="1"/>
  <c r="AC874" i="1" s="1"/>
  <c r="D875" i="1"/>
  <c r="AC875" i="1" s="1"/>
  <c r="D876" i="1"/>
  <c r="AC876" i="1" s="1"/>
  <c r="D877" i="1"/>
  <c r="AC877" i="1" s="1"/>
  <c r="D878" i="1"/>
  <c r="AC878" i="1" s="1"/>
  <c r="D879" i="1"/>
  <c r="AC879" i="1" s="1"/>
  <c r="D880" i="1"/>
  <c r="AC880" i="1" s="1"/>
  <c r="D881" i="1"/>
  <c r="AC881" i="1" s="1"/>
  <c r="D882" i="1"/>
  <c r="AC882" i="1" s="1"/>
  <c r="D883" i="1"/>
  <c r="AC883" i="1" s="1"/>
  <c r="D884" i="1"/>
  <c r="AC884" i="1" s="1"/>
  <c r="D885" i="1"/>
  <c r="AC885" i="1" s="1"/>
  <c r="D886" i="1"/>
  <c r="AC886" i="1" s="1"/>
  <c r="D887" i="1"/>
  <c r="AC887" i="1" s="1"/>
  <c r="D888" i="1"/>
  <c r="AC888" i="1" s="1"/>
  <c r="D889" i="1"/>
  <c r="AC889" i="1" s="1"/>
  <c r="D890" i="1"/>
  <c r="AC890" i="1" s="1"/>
  <c r="D891" i="1"/>
  <c r="AC891" i="1" s="1"/>
  <c r="D892" i="1"/>
  <c r="AC892" i="1" s="1"/>
  <c r="D893" i="1"/>
  <c r="AC893" i="1" s="1"/>
  <c r="D894" i="1"/>
  <c r="AC894" i="1" s="1"/>
  <c r="D895" i="1"/>
  <c r="AC895" i="1" s="1"/>
  <c r="D896" i="1"/>
  <c r="AC896" i="1" s="1"/>
  <c r="D897" i="1"/>
  <c r="AC897" i="1" s="1"/>
  <c r="D898" i="1"/>
  <c r="AC898" i="1" s="1"/>
  <c r="D899" i="1"/>
  <c r="AC899" i="1" s="1"/>
  <c r="D900" i="1"/>
  <c r="AC900" i="1" s="1"/>
  <c r="D901" i="1"/>
  <c r="AC901" i="1" s="1"/>
  <c r="D902" i="1"/>
  <c r="AC902" i="1" s="1"/>
  <c r="D903" i="1"/>
  <c r="AC903" i="1" s="1"/>
  <c r="D904" i="1"/>
  <c r="AC904" i="1" s="1"/>
  <c r="D905" i="1"/>
  <c r="AC905" i="1" s="1"/>
  <c r="D906" i="1"/>
  <c r="AC906" i="1" s="1"/>
  <c r="D907" i="1"/>
  <c r="AC907" i="1" s="1"/>
  <c r="D908" i="1"/>
  <c r="AC908" i="1" s="1"/>
  <c r="D909" i="1"/>
  <c r="AC909" i="1" s="1"/>
  <c r="D910" i="1"/>
  <c r="AC910" i="1" s="1"/>
  <c r="D911" i="1"/>
  <c r="AC911" i="1" s="1"/>
  <c r="D912" i="1"/>
  <c r="AC912" i="1" s="1"/>
  <c r="D913" i="1"/>
  <c r="AC913" i="1" s="1"/>
  <c r="D2" i="1"/>
  <c r="AC2" i="1" s="1"/>
  <c r="Y339" i="1" l="1"/>
  <c r="Y567" i="1"/>
  <c r="Y279" i="1"/>
  <c r="Y87" i="1"/>
  <c r="Y905" i="1"/>
  <c r="Y893" i="1"/>
  <c r="Y881" i="1"/>
  <c r="Y869" i="1"/>
  <c r="Y857" i="1"/>
  <c r="Y845" i="1"/>
  <c r="Y833" i="1"/>
  <c r="Y821" i="1"/>
  <c r="Y809" i="1"/>
  <c r="Y797" i="1"/>
  <c r="Y785" i="1"/>
  <c r="Y773" i="1"/>
  <c r="Y761" i="1"/>
  <c r="Y749" i="1"/>
  <c r="Y737" i="1"/>
  <c r="Y725" i="1"/>
  <c r="Y701" i="1"/>
  <c r="Y689" i="1"/>
  <c r="Y677" i="1"/>
  <c r="Y665" i="1"/>
  <c r="Y653" i="1"/>
  <c r="Y641" i="1"/>
  <c r="Y629" i="1"/>
  <c r="Y617" i="1"/>
  <c r="Y605" i="1"/>
  <c r="Y593" i="1"/>
  <c r="Y581" i="1"/>
  <c r="Y557" i="1"/>
  <c r="Y545" i="1"/>
  <c r="Y533" i="1"/>
  <c r="Y521" i="1"/>
  <c r="Y509" i="1"/>
  <c r="Y485" i="1"/>
  <c r="Y473" i="1"/>
  <c r="Y461" i="1"/>
  <c r="Z461" i="1"/>
  <c r="Y449" i="1"/>
  <c r="Y437" i="1"/>
  <c r="Y413" i="1"/>
  <c r="Y401" i="1"/>
  <c r="Y389" i="1"/>
  <c r="Y377" i="1"/>
  <c r="Y365" i="1"/>
  <c r="Y41" i="1"/>
  <c r="Y17" i="1"/>
  <c r="Y904" i="1"/>
  <c r="Y892" i="1"/>
  <c r="Y880" i="1"/>
  <c r="Y868" i="1"/>
  <c r="Y856" i="1"/>
  <c r="Y844" i="1"/>
  <c r="Y820" i="1"/>
  <c r="Y808" i="1"/>
  <c r="Y796" i="1"/>
  <c r="Y784" i="1"/>
  <c r="Y772" i="1"/>
  <c r="Y760" i="1"/>
  <c r="Y748" i="1"/>
  <c r="Y736" i="1"/>
  <c r="Y724" i="1"/>
  <c r="Y712" i="1"/>
  <c r="Y688" i="1"/>
  <c r="Y676" i="1"/>
  <c r="Y664" i="1"/>
  <c r="Y652" i="1"/>
  <c r="Y640" i="1"/>
  <c r="Y628" i="1"/>
  <c r="Y616" i="1"/>
  <c r="Y604" i="1"/>
  <c r="Y592" i="1"/>
  <c r="Y580" i="1"/>
  <c r="Y568" i="1"/>
  <c r="Y556" i="1"/>
  <c r="Y544" i="1"/>
  <c r="Y532" i="1"/>
  <c r="Y520" i="1"/>
  <c r="Y508" i="1"/>
  <c r="Y496" i="1"/>
  <c r="Y484" i="1"/>
  <c r="Y472" i="1"/>
  <c r="Y460" i="1"/>
  <c r="Y448" i="1"/>
  <c r="Y436" i="1"/>
  <c r="Y424" i="1"/>
  <c r="Y412" i="1"/>
  <c r="Y28" i="1"/>
  <c r="Y4" i="1"/>
  <c r="Y832" i="1"/>
  <c r="Y903" i="1"/>
  <c r="Y891" i="1"/>
  <c r="Y879" i="1"/>
  <c r="Y867" i="1"/>
  <c r="Y855" i="1"/>
  <c r="Y843" i="1"/>
  <c r="Y831" i="1"/>
  <c r="Y819" i="1"/>
  <c r="Y807" i="1"/>
  <c r="Y795" i="1"/>
  <c r="Y783" i="1"/>
  <c r="Y771" i="1"/>
  <c r="Y759" i="1"/>
  <c r="Y747" i="1"/>
  <c r="Y735" i="1"/>
  <c r="Y723" i="1"/>
  <c r="Y711" i="1"/>
  <c r="Y699" i="1"/>
  <c r="Y675" i="1"/>
  <c r="Y663" i="1"/>
  <c r="Y651" i="1"/>
  <c r="Y639" i="1"/>
  <c r="Y627" i="1"/>
  <c r="Y615" i="1"/>
  <c r="Y603" i="1"/>
  <c r="Y591" i="1"/>
  <c r="Y579" i="1"/>
  <c r="Y15" i="1"/>
  <c r="Y2" i="1"/>
  <c r="Y902" i="1"/>
  <c r="Y890" i="1"/>
  <c r="Y878" i="1"/>
  <c r="Y866" i="1"/>
  <c r="Y854" i="1"/>
  <c r="Y842" i="1"/>
  <c r="Y830" i="1"/>
  <c r="Y818" i="1"/>
  <c r="Y806" i="1"/>
  <c r="Y794" i="1"/>
  <c r="Y782" i="1"/>
  <c r="Y770" i="1"/>
  <c r="Y758" i="1"/>
  <c r="Y746" i="1"/>
  <c r="Y734" i="1"/>
  <c r="Y722" i="1"/>
  <c r="Y710" i="1"/>
  <c r="Y698" i="1"/>
  <c r="Y686" i="1"/>
  <c r="Y662" i="1"/>
  <c r="Y650" i="1"/>
  <c r="Y638" i="1"/>
  <c r="Y626" i="1"/>
  <c r="Y614" i="1"/>
  <c r="Y602" i="1"/>
  <c r="Y590" i="1"/>
  <c r="Y578" i="1"/>
  <c r="Y566" i="1"/>
  <c r="Y542" i="1"/>
  <c r="Y530" i="1"/>
  <c r="Y518" i="1"/>
  <c r="Y506" i="1"/>
  <c r="Y494" i="1"/>
  <c r="Y470" i="1"/>
  <c r="Y458" i="1"/>
  <c r="Y446" i="1"/>
  <c r="Y434" i="1"/>
  <c r="Y422" i="1"/>
  <c r="Y398" i="1"/>
  <c r="Y386" i="1"/>
  <c r="Y374" i="1"/>
  <c r="Y362" i="1"/>
  <c r="Y350" i="1"/>
  <c r="Y326" i="1"/>
  <c r="Y314" i="1"/>
  <c r="Y302" i="1"/>
  <c r="Y290" i="1"/>
  <c r="Y278" i="1"/>
  <c r="Y266" i="1"/>
  <c r="Y901" i="1"/>
  <c r="Y877" i="1"/>
  <c r="Y853" i="1"/>
  <c r="Y829" i="1"/>
  <c r="Y805" i="1"/>
  <c r="Y781" i="1"/>
  <c r="Y757" i="1"/>
  <c r="Y733" i="1"/>
  <c r="Y709" i="1"/>
  <c r="Y685" i="1"/>
  <c r="Y661" i="1"/>
  <c r="Y637" i="1"/>
  <c r="Y613" i="1"/>
  <c r="Y589" i="1"/>
  <c r="Y565" i="1"/>
  <c r="Y529" i="1"/>
  <c r="Y505" i="1"/>
  <c r="Y493" i="1"/>
  <c r="Y469" i="1"/>
  <c r="Y457" i="1"/>
  <c r="Y445" i="1"/>
  <c r="Y433" i="1"/>
  <c r="Y421" i="1"/>
  <c r="Y409" i="1"/>
  <c r="Y397" i="1"/>
  <c r="Y385" i="1"/>
  <c r="Y373" i="1"/>
  <c r="Y361" i="1"/>
  <c r="Y337" i="1"/>
  <c r="Y325" i="1"/>
  <c r="Y313" i="1"/>
  <c r="Y301" i="1"/>
  <c r="Y289" i="1"/>
  <c r="Y277" i="1"/>
  <c r="Y265" i="1"/>
  <c r="Y253" i="1"/>
  <c r="Y241" i="1"/>
  <c r="Y229" i="1"/>
  <c r="Y217" i="1"/>
  <c r="Y205" i="1"/>
  <c r="Y193" i="1"/>
  <c r="Y181" i="1"/>
  <c r="Y169" i="1"/>
  <c r="Y157" i="1"/>
  <c r="Y145" i="1"/>
  <c r="Y133" i="1"/>
  <c r="Y121" i="1"/>
  <c r="Y109" i="1"/>
  <c r="Y97" i="1"/>
  <c r="Y85" i="1"/>
  <c r="Y73" i="1"/>
  <c r="Y913" i="1"/>
  <c r="Y889" i="1"/>
  <c r="Y865" i="1"/>
  <c r="Y841" i="1"/>
  <c r="Y817" i="1"/>
  <c r="Y793" i="1"/>
  <c r="Y769" i="1"/>
  <c r="Y745" i="1"/>
  <c r="Y721" i="1"/>
  <c r="Y697" i="1"/>
  <c r="Y673" i="1"/>
  <c r="Y649" i="1"/>
  <c r="Y625" i="1"/>
  <c r="Y601" i="1"/>
  <c r="Y577" i="1"/>
  <c r="Y553" i="1"/>
  <c r="Y541" i="1"/>
  <c r="Y517" i="1"/>
  <c r="Y481" i="1"/>
  <c r="Y349" i="1"/>
  <c r="Y912" i="1"/>
  <c r="Y900" i="1"/>
  <c r="Y888" i="1"/>
  <c r="Y876" i="1"/>
  <c r="Y864" i="1"/>
  <c r="Y852" i="1"/>
  <c r="Y840" i="1"/>
  <c r="Y828" i="1"/>
  <c r="Y816" i="1"/>
  <c r="Y911" i="1"/>
  <c r="Y899" i="1"/>
  <c r="Y887" i="1"/>
  <c r="Y875" i="1"/>
  <c r="Y863" i="1"/>
  <c r="Y851" i="1"/>
  <c r="Y839" i="1"/>
  <c r="Y827" i="1"/>
  <c r="Y815" i="1"/>
  <c r="Y803" i="1"/>
  <c r="Y779" i="1"/>
  <c r="Y767" i="1"/>
  <c r="Y755" i="1"/>
  <c r="Y743" i="1"/>
  <c r="Y731" i="1"/>
  <c r="Y719" i="1"/>
  <c r="Y707" i="1"/>
  <c r="Y695" i="1"/>
  <c r="Y683" i="1"/>
  <c r="Y671" i="1"/>
  <c r="Y659" i="1"/>
  <c r="Y635" i="1"/>
  <c r="Y623" i="1"/>
  <c r="Y611" i="1"/>
  <c r="Y599" i="1"/>
  <c r="Y587" i="1"/>
  <c r="Y575" i="1"/>
  <c r="Y563" i="1"/>
  <c r="Y551" i="1"/>
  <c r="Y527" i="1"/>
  <c r="Y515" i="1"/>
  <c r="Y503" i="1"/>
  <c r="Y491" i="1"/>
  <c r="Y479" i="1"/>
  <c r="Y455" i="1"/>
  <c r="Y443" i="1"/>
  <c r="Y431" i="1"/>
  <c r="Y419" i="1"/>
  <c r="Y407" i="1"/>
  <c r="Y395" i="1"/>
  <c r="Y383" i="1"/>
  <c r="Y371" i="1"/>
  <c r="Y347" i="1"/>
  <c r="Y335" i="1"/>
  <c r="Y323" i="1"/>
  <c r="Y311" i="1"/>
  <c r="Y299" i="1"/>
  <c r="Y287" i="1"/>
  <c r="Y275" i="1"/>
  <c r="Y263" i="1"/>
  <c r="Y251" i="1"/>
  <c r="Y239" i="1"/>
  <c r="Y227" i="1"/>
  <c r="Y215" i="1"/>
  <c r="Y203" i="1"/>
  <c r="Y191" i="1"/>
  <c r="Y179" i="1"/>
  <c r="Y167" i="1"/>
  <c r="Y155" i="1"/>
  <c r="Y143" i="1"/>
  <c r="Y119" i="1"/>
  <c r="Y107" i="1"/>
  <c r="Y95" i="1"/>
  <c r="Y83" i="1"/>
  <c r="Y71" i="1"/>
  <c r="Y47" i="1"/>
  <c r="Y910" i="1"/>
  <c r="Y898" i="1"/>
  <c r="Y886" i="1"/>
  <c r="Y874" i="1"/>
  <c r="Y862" i="1"/>
  <c r="Y850" i="1"/>
  <c r="Y838" i="1"/>
  <c r="Y826" i="1"/>
  <c r="Y814" i="1"/>
  <c r="Y802" i="1"/>
  <c r="Y790" i="1"/>
  <c r="Y778" i="1"/>
  <c r="Y766" i="1"/>
  <c r="Y754" i="1"/>
  <c r="Y742" i="1"/>
  <c r="Y730" i="1"/>
  <c r="Y718" i="1"/>
  <c r="Y706" i="1"/>
  <c r="Y694" i="1"/>
  <c r="Y682" i="1"/>
  <c r="Y670" i="1"/>
  <c r="Y658" i="1"/>
  <c r="Y646" i="1"/>
  <c r="Y634" i="1"/>
  <c r="Y622" i="1"/>
  <c r="Y610" i="1"/>
  <c r="Y598" i="1"/>
  <c r="Y586" i="1"/>
  <c r="Y574" i="1"/>
  <c r="Y562" i="1"/>
  <c r="Y550" i="1"/>
  <c r="Y538" i="1"/>
  <c r="Y526" i="1"/>
  <c r="Y514" i="1"/>
  <c r="Y502" i="1"/>
  <c r="Y490" i="1"/>
  <c r="Y478" i="1"/>
  <c r="Y466" i="1"/>
  <c r="Y454" i="1"/>
  <c r="Y442" i="1"/>
  <c r="Y430" i="1"/>
  <c r="Y418" i="1"/>
  <c r="Y406" i="1"/>
  <c r="Y382" i="1"/>
  <c r="Y370" i="1"/>
  <c r="Y358" i="1"/>
  <c r="Y346" i="1"/>
  <c r="Y334" i="1"/>
  <c r="Y322" i="1"/>
  <c r="Y310" i="1"/>
  <c r="Y286" i="1"/>
  <c r="Y274" i="1"/>
  <c r="Y262" i="1"/>
  <c r="Y250" i="1"/>
  <c r="Y238" i="1"/>
  <c r="Y226" i="1"/>
  <c r="Y214" i="1"/>
  <c r="Y202" i="1"/>
  <c r="Y190" i="1"/>
  <c r="Y178" i="1"/>
  <c r="Y166" i="1"/>
  <c r="Y154" i="1"/>
  <c r="Y142" i="1"/>
  <c r="Y130" i="1"/>
  <c r="Y118" i="1"/>
  <c r="Y106" i="1"/>
  <c r="Y94" i="1"/>
  <c r="Y82" i="1"/>
  <c r="Y909" i="1"/>
  <c r="Y897" i="1"/>
  <c r="Y885" i="1"/>
  <c r="Y873" i="1"/>
  <c r="Y861" i="1"/>
  <c r="Y849" i="1"/>
  <c r="Y837" i="1"/>
  <c r="Y825" i="1"/>
  <c r="Y813" i="1"/>
  <c r="Y801" i="1"/>
  <c r="Y789" i="1"/>
  <c r="Y777" i="1"/>
  <c r="Y753" i="1"/>
  <c r="Y741" i="1"/>
  <c r="Y729" i="1"/>
  <c r="Y717" i="1"/>
  <c r="Y705" i="1"/>
  <c r="Y693" i="1"/>
  <c r="Y681" i="1"/>
  <c r="Y669" i="1"/>
  <c r="Y657" i="1"/>
  <c r="Y645" i="1"/>
  <c r="Y633" i="1"/>
  <c r="Y609" i="1"/>
  <c r="Y597" i="1"/>
  <c r="Y585" i="1"/>
  <c r="Y573" i="1"/>
  <c r="Y561" i="1"/>
  <c r="Y549" i="1"/>
  <c r="Y537" i="1"/>
  <c r="Y513" i="1"/>
  <c r="Y501" i="1"/>
  <c r="Y489" i="1"/>
  <c r="Y477" i="1"/>
  <c r="Y465" i="1"/>
  <c r="Y441" i="1"/>
  <c r="Y429" i="1"/>
  <c r="Y417" i="1"/>
  <c r="Y405" i="1"/>
  <c r="Y393" i="1"/>
  <c r="Y381" i="1"/>
  <c r="Y369" i="1"/>
  <c r="Y357" i="1"/>
  <c r="Y345" i="1"/>
  <c r="Y333" i="1"/>
  <c r="Y321" i="1"/>
  <c r="Y309" i="1"/>
  <c r="Y297" i="1"/>
  <c r="Y285" i="1"/>
  <c r="Y273" i="1"/>
  <c r="Y261" i="1"/>
  <c r="Y249" i="1"/>
  <c r="Y237" i="1"/>
  <c r="Y225" i="1"/>
  <c r="Y213" i="1"/>
  <c r="Y201" i="1"/>
  <c r="Y189" i="1"/>
  <c r="Y177" i="1"/>
  <c r="Y165" i="1"/>
  <c r="Y153" i="1"/>
  <c r="Y141" i="1"/>
  <c r="Y129" i="1"/>
  <c r="Y117" i="1"/>
  <c r="Y93" i="1"/>
  <c r="Y81" i="1"/>
  <c r="Y69" i="1"/>
  <c r="Y57" i="1"/>
  <c r="Y33" i="1"/>
  <c r="Y908" i="1"/>
  <c r="Y896" i="1"/>
  <c r="Y884" i="1"/>
  <c r="Y872" i="1"/>
  <c r="Y860" i="1"/>
  <c r="Y848" i="1"/>
  <c r="Y836" i="1"/>
  <c r="Y824" i="1"/>
  <c r="Y812" i="1"/>
  <c r="Y800" i="1"/>
  <c r="Y788" i="1"/>
  <c r="Y776" i="1"/>
  <c r="Y764" i="1"/>
  <c r="Y740" i="1"/>
  <c r="Y728" i="1"/>
  <c r="Y716" i="1"/>
  <c r="Y704" i="1"/>
  <c r="Y692" i="1"/>
  <c r="Y680" i="1"/>
  <c r="Y668" i="1"/>
  <c r="Y656" i="1"/>
  <c r="Y644" i="1"/>
  <c r="Y632" i="1"/>
  <c r="Y620" i="1"/>
  <c r="Y596" i="1"/>
  <c r="Y584" i="1"/>
  <c r="Y572" i="1"/>
  <c r="Y560" i="1"/>
  <c r="Y548" i="1"/>
  <c r="Y536" i="1"/>
  <c r="Y524" i="1"/>
  <c r="Y512" i="1"/>
  <c r="Y500" i="1"/>
  <c r="Y488" i="1"/>
  <c r="Y476" i="1"/>
  <c r="Y464" i="1"/>
  <c r="Y452" i="1"/>
  <c r="Y440" i="1"/>
  <c r="Y428" i="1"/>
  <c r="Y416" i="1"/>
  <c r="Y404" i="1"/>
  <c r="Y392" i="1"/>
  <c r="Y380" i="1"/>
  <c r="Y368" i="1"/>
  <c r="Y356" i="1"/>
  <c r="Y344" i="1"/>
  <c r="Y332" i="1"/>
  <c r="Y308" i="1"/>
  <c r="Y296" i="1"/>
  <c r="Y284" i="1"/>
  <c r="Y272" i="1"/>
  <c r="Y260" i="1"/>
  <c r="Y248" i="1"/>
  <c r="Y236" i="1"/>
  <c r="Y224" i="1"/>
  <c r="Y212" i="1"/>
  <c r="Y200" i="1"/>
  <c r="Y188" i="1"/>
  <c r="Y176" i="1"/>
  <c r="Y164" i="1"/>
  <c r="Y152" i="1"/>
  <c r="Y140" i="1"/>
  <c r="Y128" i="1"/>
  <c r="Y116" i="1"/>
  <c r="Y104" i="1"/>
  <c r="Y92" i="1"/>
  <c r="Y80" i="1"/>
  <c r="Y68" i="1"/>
  <c r="Y56" i="1"/>
  <c r="Y20" i="1"/>
  <c r="Y907" i="1"/>
  <c r="Y895" i="1"/>
  <c r="Y883" i="1"/>
  <c r="Y871" i="1"/>
  <c r="Y859" i="1"/>
  <c r="Y847" i="1"/>
  <c r="Y823" i="1"/>
  <c r="Y811" i="1"/>
  <c r="Y799" i="1"/>
  <c r="Y787" i="1"/>
  <c r="Y775" i="1"/>
  <c r="Y763" i="1"/>
  <c r="Y751" i="1"/>
  <c r="Y727" i="1"/>
  <c r="Y715" i="1"/>
  <c r="Y703" i="1"/>
  <c r="Y691" i="1"/>
  <c r="Y679" i="1"/>
  <c r="Y667" i="1"/>
  <c r="Y655" i="1"/>
  <c r="Y643" i="1"/>
  <c r="Y631" i="1"/>
  <c r="Y619" i="1"/>
  <c r="Y607" i="1"/>
  <c r="Y583" i="1"/>
  <c r="Y571" i="1"/>
  <c r="Y559" i="1"/>
  <c r="Y547" i="1"/>
  <c r="Y535" i="1"/>
  <c r="Y523" i="1"/>
  <c r="Y499" i="1"/>
  <c r="Y487" i="1"/>
  <c r="Y475" i="1"/>
  <c r="Y463" i="1"/>
  <c r="Y451" i="1"/>
  <c r="Y427" i="1"/>
  <c r="Y415" i="1"/>
  <c r="Y403" i="1"/>
  <c r="Y391" i="1"/>
  <c r="Y367" i="1"/>
  <c r="Y355" i="1"/>
  <c r="Y343" i="1"/>
  <c r="Y331" i="1"/>
  <c r="Y319" i="1"/>
  <c r="Y307" i="1"/>
  <c r="Y295" i="1"/>
  <c r="Y283" i="1"/>
  <c r="Y271" i="1"/>
  <c r="Y247" i="1"/>
  <c r="Y223" i="1"/>
  <c r="Y199" i="1"/>
  <c r="Y175" i="1"/>
  <c r="Y67" i="1"/>
  <c r="Y55" i="1"/>
  <c r="Y43" i="1"/>
  <c r="Y7" i="1"/>
  <c r="Y835" i="1"/>
  <c r="Y906" i="1"/>
  <c r="Y894" i="1"/>
  <c r="Y882" i="1"/>
  <c r="Y870" i="1"/>
  <c r="Y858" i="1"/>
  <c r="Y846" i="1"/>
  <c r="Y834" i="1"/>
  <c r="Y822" i="1"/>
  <c r="Y810" i="1"/>
  <c r="Y798" i="1"/>
  <c r="Y786" i="1"/>
  <c r="Y774" i="1"/>
  <c r="Y762" i="1"/>
  <c r="Y750" i="1"/>
  <c r="Y738" i="1"/>
  <c r="Y714" i="1"/>
  <c r="Y702" i="1"/>
  <c r="Y690" i="1"/>
  <c r="Y678" i="1"/>
  <c r="Y666" i="1"/>
  <c r="Y654" i="1"/>
  <c r="Y642" i="1"/>
  <c r="Y630" i="1"/>
  <c r="Y618" i="1"/>
  <c r="Y606" i="1"/>
  <c r="Y594" i="1"/>
  <c r="Y570" i="1"/>
  <c r="Y558" i="1"/>
  <c r="Y546" i="1"/>
  <c r="Y534" i="1"/>
  <c r="Y522" i="1"/>
  <c r="Y510" i="1"/>
  <c r="Y498" i="1"/>
  <c r="Y486" i="1"/>
  <c r="Y474" i="1"/>
  <c r="Y462" i="1"/>
  <c r="Y450" i="1"/>
  <c r="Y438" i="1"/>
  <c r="Y426" i="1"/>
  <c r="Y414" i="1"/>
  <c r="Y402" i="1"/>
  <c r="Y390" i="1"/>
  <c r="Y54" i="1"/>
  <c r="Y30" i="1"/>
  <c r="Y59" i="1"/>
  <c r="Y35" i="1"/>
  <c r="Y23" i="1"/>
  <c r="Y456" i="1"/>
  <c r="Y70" i="1"/>
  <c r="Y58" i="1"/>
  <c r="Y46" i="1"/>
  <c r="Y34" i="1"/>
  <c r="Y22" i="1"/>
  <c r="Y10" i="1"/>
  <c r="Y45" i="1"/>
  <c r="Y21" i="1"/>
  <c r="Y9" i="1"/>
  <c r="Z696" i="1"/>
  <c r="Y44" i="1"/>
  <c r="Y32" i="1"/>
  <c r="Y8" i="1"/>
  <c r="Y60" i="1"/>
  <c r="Z636" i="1"/>
  <c r="Y151" i="1"/>
  <c r="Y139" i="1"/>
  <c r="Y127" i="1"/>
  <c r="Y115" i="1"/>
  <c r="Y103" i="1"/>
  <c r="Y91" i="1"/>
  <c r="Y79" i="1"/>
  <c r="Y31" i="1"/>
  <c r="Y19" i="1"/>
  <c r="Y378" i="1"/>
  <c r="Y366" i="1"/>
  <c r="Y354" i="1"/>
  <c r="Y342" i="1"/>
  <c r="Y318" i="1"/>
  <c r="Z306" i="1"/>
  <c r="Z294" i="1"/>
  <c r="Y282" i="1"/>
  <c r="Y270" i="1"/>
  <c r="Y258" i="1"/>
  <c r="Y234" i="1"/>
  <c r="Y222" i="1"/>
  <c r="Y210" i="1"/>
  <c r="Y198" i="1"/>
  <c r="Y186" i="1"/>
  <c r="Y174" i="1"/>
  <c r="Y162" i="1"/>
  <c r="Y138" i="1"/>
  <c r="Y126" i="1"/>
  <c r="Y114" i="1"/>
  <c r="Y102" i="1"/>
  <c r="Y90" i="1"/>
  <c r="Y78" i="1"/>
  <c r="Y66" i="1"/>
  <c r="Y18" i="1"/>
  <c r="Y6" i="1"/>
  <c r="Y246" i="1"/>
  <c r="Z516" i="1"/>
  <c r="Y353" i="1"/>
  <c r="Y341" i="1"/>
  <c r="Y329" i="1"/>
  <c r="Y317" i="1"/>
  <c r="Y305" i="1"/>
  <c r="Y293" i="1"/>
  <c r="Y281" i="1"/>
  <c r="Y269" i="1"/>
  <c r="Y257" i="1"/>
  <c r="Y245" i="1"/>
  <c r="Y233" i="1"/>
  <c r="Y221" i="1"/>
  <c r="Y209" i="1"/>
  <c r="Y197" i="1"/>
  <c r="Y185" i="1"/>
  <c r="Y173" i="1"/>
  <c r="Y161" i="1"/>
  <c r="Y149" i="1"/>
  <c r="Y137" i="1"/>
  <c r="Y125" i="1"/>
  <c r="Y113" i="1"/>
  <c r="Y101" i="1"/>
  <c r="Y89" i="1"/>
  <c r="Y77" i="1"/>
  <c r="Y65" i="1"/>
  <c r="Z53" i="1"/>
  <c r="Y29" i="1"/>
  <c r="Y5" i="1"/>
  <c r="Y400" i="1"/>
  <c r="Y388" i="1"/>
  <c r="Y376" i="1"/>
  <c r="Y364" i="1"/>
  <c r="Y352" i="1"/>
  <c r="Y340" i="1"/>
  <c r="Y328" i="1"/>
  <c r="Y316" i="1"/>
  <c r="Y304" i="1"/>
  <c r="Y292" i="1"/>
  <c r="Y280" i="1"/>
  <c r="Y268" i="1"/>
  <c r="Y256" i="1"/>
  <c r="Y244" i="1"/>
  <c r="Z232" i="1"/>
  <c r="Y220" i="1"/>
  <c r="Y208" i="1"/>
  <c r="Y196" i="1"/>
  <c r="Y184" i="1"/>
  <c r="Y172" i="1"/>
  <c r="Y160" i="1"/>
  <c r="Y148" i="1"/>
  <c r="Z136" i="1"/>
  <c r="Y124" i="1"/>
  <c r="Y112" i="1"/>
  <c r="Y100" i="1"/>
  <c r="Y88" i="1"/>
  <c r="Y76" i="1"/>
  <c r="Y64" i="1"/>
  <c r="Y52" i="1"/>
  <c r="Y40" i="1"/>
  <c r="Y16" i="1"/>
  <c r="Y11" i="1"/>
  <c r="Y555" i="1"/>
  <c r="Y543" i="1"/>
  <c r="Y531" i="1"/>
  <c r="Y519" i="1"/>
  <c r="Y507" i="1"/>
  <c r="Y471" i="1"/>
  <c r="Y459" i="1"/>
  <c r="Y447" i="1"/>
  <c r="Y435" i="1"/>
  <c r="Y423" i="1"/>
  <c r="Y411" i="1"/>
  <c r="Y399" i="1"/>
  <c r="Y387" i="1"/>
  <c r="Y375" i="1"/>
  <c r="Y363" i="1"/>
  <c r="Y351" i="1"/>
  <c r="Y327" i="1"/>
  <c r="Y315" i="1"/>
  <c r="Y303" i="1"/>
  <c r="Y291" i="1"/>
  <c r="Y267" i="1"/>
  <c r="Y255" i="1"/>
  <c r="Y243" i="1"/>
  <c r="Y231" i="1"/>
  <c r="Y219" i="1"/>
  <c r="Y207" i="1"/>
  <c r="Y195" i="1"/>
  <c r="Y171" i="1"/>
  <c r="Y159" i="1"/>
  <c r="Y147" i="1"/>
  <c r="Y135" i="1"/>
  <c r="Y123" i="1"/>
  <c r="Y111" i="1"/>
  <c r="Y99" i="1"/>
  <c r="Y75" i="1"/>
  <c r="Y63" i="1"/>
  <c r="Y51" i="1"/>
  <c r="Y39" i="1"/>
  <c r="Y27" i="1"/>
  <c r="Y3" i="1"/>
  <c r="Y495" i="1"/>
  <c r="Z264" i="1"/>
  <c r="Y254" i="1"/>
  <c r="Y242" i="1"/>
  <c r="Y230" i="1"/>
  <c r="Y218" i="1"/>
  <c r="Y206" i="1"/>
  <c r="Y194" i="1"/>
  <c r="Y182" i="1"/>
  <c r="Y170" i="1"/>
  <c r="Y158" i="1"/>
  <c r="Y146" i="1"/>
  <c r="Y134" i="1"/>
  <c r="Y122" i="1"/>
  <c r="Y110" i="1"/>
  <c r="Y98" i="1"/>
  <c r="Y86" i="1"/>
  <c r="Y74" i="1"/>
  <c r="Y62" i="1"/>
  <c r="Y50" i="1"/>
  <c r="Z38" i="1"/>
  <c r="Y26" i="1"/>
  <c r="Y14" i="1"/>
  <c r="Y483" i="1"/>
  <c r="Y183" i="1"/>
  <c r="Y61" i="1"/>
  <c r="Y49" i="1"/>
  <c r="Y37" i="1"/>
  <c r="Y25" i="1"/>
  <c r="Y13" i="1"/>
  <c r="Y791" i="1"/>
  <c r="Y765" i="1"/>
  <c r="Y752" i="1"/>
  <c r="Y739" i="1"/>
  <c r="Z713" i="1"/>
  <c r="Y700" i="1"/>
  <c r="Y687" i="1"/>
  <c r="Y674" i="1"/>
  <c r="Y647" i="1"/>
  <c r="Y621" i="1"/>
  <c r="Y608" i="1"/>
  <c r="Y595" i="1"/>
  <c r="Y569" i="1"/>
  <c r="Y554" i="1"/>
  <c r="Y539" i="1"/>
  <c r="Y525" i="1"/>
  <c r="Y511" i="1"/>
  <c r="Y497" i="1"/>
  <c r="Y482" i="1"/>
  <c r="Y467" i="1"/>
  <c r="Y453" i="1"/>
  <c r="Y439" i="1"/>
  <c r="Y425" i="1"/>
  <c r="Y410" i="1"/>
  <c r="Y394" i="1"/>
  <c r="Y379" i="1"/>
  <c r="Y359" i="1"/>
  <c r="Y338" i="1"/>
  <c r="Y320" i="1"/>
  <c r="Y298" i="1"/>
  <c r="Y259" i="1"/>
  <c r="Y235" i="1"/>
  <c r="Y211" i="1"/>
  <c r="Y187" i="1"/>
  <c r="Y163" i="1"/>
  <c r="Y131" i="1"/>
  <c r="Y105" i="1"/>
  <c r="Y42" i="1"/>
  <c r="Y582" i="1"/>
  <c r="Y804" i="1"/>
  <c r="Z792" i="1"/>
  <c r="Y780" i="1"/>
  <c r="Y768" i="1"/>
  <c r="Y756" i="1"/>
  <c r="Y744" i="1"/>
  <c r="Y732" i="1"/>
  <c r="Y720" i="1"/>
  <c r="Y708" i="1"/>
  <c r="Y684" i="1"/>
  <c r="Y672" i="1"/>
  <c r="Y660" i="1"/>
  <c r="Y648" i="1"/>
  <c r="Y624" i="1"/>
  <c r="Y612" i="1"/>
  <c r="Y600" i="1"/>
  <c r="Y588" i="1"/>
  <c r="Y576" i="1"/>
  <c r="Y564" i="1"/>
  <c r="Y552" i="1"/>
  <c r="Y540" i="1"/>
  <c r="Y528" i="1"/>
  <c r="Y504" i="1"/>
  <c r="Y492" i="1"/>
  <c r="Y480" i="1"/>
  <c r="Y468" i="1"/>
  <c r="Z444" i="1"/>
  <c r="Y432" i="1"/>
  <c r="Y420" i="1"/>
  <c r="Y408" i="1"/>
  <c r="Y396" i="1"/>
  <c r="Y384" i="1"/>
  <c r="Y372" i="1"/>
  <c r="Z360" i="1"/>
  <c r="Z348" i="1"/>
  <c r="Y336" i="1"/>
  <c r="Z324" i="1"/>
  <c r="Y312" i="1"/>
  <c r="Y300" i="1"/>
  <c r="Y288" i="1"/>
  <c r="Y276" i="1"/>
  <c r="Y252" i="1"/>
  <c r="Y240" i="1"/>
  <c r="Y228" i="1"/>
  <c r="Z216" i="1"/>
  <c r="Y204" i="1"/>
  <c r="Y192" i="1"/>
  <c r="Y180" i="1"/>
  <c r="Y168" i="1"/>
  <c r="Y156" i="1"/>
  <c r="Y144" i="1"/>
  <c r="Y132" i="1"/>
  <c r="Z120" i="1"/>
  <c r="Y108" i="1"/>
  <c r="Y96" i="1"/>
  <c r="Y84" i="1"/>
  <c r="Y72" i="1"/>
  <c r="Y48" i="1"/>
  <c r="Y36" i="1"/>
  <c r="Y24" i="1"/>
  <c r="Y12" i="1"/>
  <c r="Y726" i="1"/>
  <c r="Y330" i="1"/>
  <c r="Y150" i="1"/>
  <c r="Z612" i="1" l="1"/>
  <c r="Z146" i="1"/>
  <c r="Z256" i="1"/>
  <c r="Z91" i="1"/>
  <c r="Z55" i="1"/>
  <c r="Z260" i="1"/>
  <c r="Z297" i="1"/>
  <c r="Z382" i="1"/>
  <c r="Z419" i="1"/>
  <c r="Z133" i="1"/>
  <c r="Z626" i="1"/>
  <c r="Z509" i="1"/>
  <c r="Z312" i="1"/>
  <c r="Z320" i="1"/>
  <c r="Z27" i="1"/>
  <c r="Z5" i="1"/>
  <c r="Z21" i="1"/>
  <c r="Z535" i="1"/>
  <c r="Z572" i="1"/>
  <c r="Z633" i="1"/>
  <c r="Z694" i="1"/>
  <c r="Z755" i="1"/>
  <c r="Z445" i="1"/>
  <c r="Z735" i="1"/>
  <c r="Z365" i="1"/>
  <c r="Z480" i="1"/>
  <c r="Z26" i="1"/>
  <c r="Z543" i="1"/>
  <c r="Z126" i="1"/>
  <c r="Z678" i="1"/>
  <c r="Z871" i="1"/>
  <c r="Z896" i="1"/>
  <c r="Z250" i="1"/>
  <c r="Z143" i="1"/>
  <c r="Z767" i="1"/>
  <c r="Z301" i="1"/>
  <c r="Z314" i="1"/>
  <c r="Z650" i="1"/>
  <c r="Z591" i="1"/>
  <c r="Z891" i="1"/>
  <c r="Z689" i="1"/>
  <c r="Z24" i="1"/>
  <c r="Z336" i="1"/>
  <c r="Z660" i="1"/>
  <c r="Z359" i="1"/>
  <c r="Z752" i="1"/>
  <c r="Z182" i="1"/>
  <c r="Z219" i="1"/>
  <c r="Z555" i="1"/>
  <c r="Z292" i="1"/>
  <c r="Z197" i="1"/>
  <c r="Z138" i="1"/>
  <c r="Z127" i="1"/>
  <c r="Z390" i="1"/>
  <c r="Z690" i="1"/>
  <c r="Z199" i="1"/>
  <c r="Z559" i="1"/>
  <c r="Z883" i="1"/>
  <c r="Z296" i="1"/>
  <c r="Z596" i="1"/>
  <c r="Z908" i="1"/>
  <c r="Z333" i="1"/>
  <c r="Z657" i="1"/>
  <c r="Z118" i="1"/>
  <c r="Z430" i="1"/>
  <c r="Z718" i="1"/>
  <c r="Z155" i="1"/>
  <c r="Z455" i="1"/>
  <c r="Z779" i="1"/>
  <c r="Z553" i="1"/>
  <c r="Z169" i="1"/>
  <c r="Z469" i="1"/>
  <c r="Z326" i="1"/>
  <c r="Z662" i="1"/>
  <c r="Z603" i="1"/>
  <c r="Z903" i="1"/>
  <c r="Z652" i="1"/>
  <c r="Z545" i="1"/>
  <c r="Z857" i="1"/>
  <c r="Z36" i="1"/>
  <c r="Z192" i="1"/>
  <c r="Z504" i="1"/>
  <c r="Z672" i="1"/>
  <c r="Z42" i="1"/>
  <c r="Z379" i="1"/>
  <c r="Z554" i="1"/>
  <c r="Z765" i="1"/>
  <c r="Z50" i="1"/>
  <c r="Z194" i="1"/>
  <c r="Z63" i="1"/>
  <c r="Z231" i="1"/>
  <c r="Z399" i="1"/>
  <c r="Z11" i="1"/>
  <c r="Z160" i="1"/>
  <c r="Z304" i="1"/>
  <c r="Z65" i="1"/>
  <c r="Z209" i="1"/>
  <c r="Z353" i="1"/>
  <c r="Z162" i="1"/>
  <c r="Z318" i="1"/>
  <c r="Z139" i="1"/>
  <c r="Z22" i="1"/>
  <c r="Z402" i="1"/>
  <c r="Z546" i="1"/>
  <c r="Z702" i="1"/>
  <c r="Z858" i="1"/>
  <c r="Z223" i="1"/>
  <c r="Z403" i="1"/>
  <c r="Z571" i="1"/>
  <c r="Z727" i="1"/>
  <c r="Z895" i="1"/>
  <c r="Z164" i="1"/>
  <c r="Z308" i="1"/>
  <c r="Z464" i="1"/>
  <c r="Z620" i="1"/>
  <c r="Z776" i="1"/>
  <c r="Z33" i="1"/>
  <c r="Z201" i="1"/>
  <c r="Z345" i="1"/>
  <c r="Z501" i="1"/>
  <c r="Z669" i="1"/>
  <c r="Z825" i="1"/>
  <c r="Z130" i="1"/>
  <c r="Z274" i="1"/>
  <c r="Z442" i="1"/>
  <c r="Z586" i="1"/>
  <c r="Z730" i="1"/>
  <c r="Z874" i="1"/>
  <c r="Z167" i="1"/>
  <c r="Z311" i="1"/>
  <c r="Z479" i="1"/>
  <c r="Z635" i="1"/>
  <c r="Z803" i="1"/>
  <c r="Z840" i="1"/>
  <c r="Z577" i="1"/>
  <c r="Z865" i="1"/>
  <c r="Z181" i="1"/>
  <c r="Z325" i="1"/>
  <c r="Z493" i="1"/>
  <c r="Z781" i="1"/>
  <c r="Z350" i="1"/>
  <c r="Z518" i="1"/>
  <c r="Z686" i="1"/>
  <c r="Z830" i="1"/>
  <c r="Z615" i="1"/>
  <c r="Z771" i="1"/>
  <c r="Z832" i="1"/>
  <c r="Z520" i="1"/>
  <c r="Z664" i="1"/>
  <c r="Z820" i="1"/>
  <c r="Z401" i="1"/>
  <c r="Z557" i="1"/>
  <c r="Z725" i="1"/>
  <c r="Z869" i="1"/>
  <c r="Z144" i="1"/>
  <c r="Z497" i="1"/>
  <c r="Z351" i="1"/>
  <c r="Z305" i="1"/>
  <c r="Z498" i="1"/>
  <c r="Z523" i="1"/>
  <c r="Z416" i="1"/>
  <c r="Z441" i="1"/>
  <c r="Z538" i="1"/>
  <c r="Z587" i="1"/>
  <c r="Z277" i="1"/>
  <c r="Z867" i="1"/>
  <c r="Z665" i="1"/>
  <c r="Z468" i="1"/>
  <c r="Z14" i="1"/>
  <c r="Z531" i="1"/>
  <c r="Z114" i="1"/>
  <c r="Z510" i="1"/>
  <c r="Z691" i="1"/>
  <c r="Z728" i="1"/>
  <c r="Z94" i="1"/>
  <c r="Z275" i="1"/>
  <c r="Z793" i="1"/>
  <c r="Z470" i="1"/>
  <c r="Z521" i="1"/>
  <c r="Z525" i="1"/>
  <c r="Z375" i="1"/>
  <c r="Z185" i="1"/>
  <c r="Z45" i="1"/>
  <c r="Z175" i="1"/>
  <c r="Z140" i="1"/>
  <c r="Z177" i="1"/>
  <c r="Z106" i="1"/>
  <c r="Z706" i="1"/>
  <c r="Z611" i="1"/>
  <c r="Z816" i="1"/>
  <c r="Z733" i="1"/>
  <c r="Z494" i="1"/>
  <c r="Z806" i="1"/>
  <c r="Z747" i="1"/>
  <c r="Z496" i="1"/>
  <c r="Z845" i="1"/>
  <c r="Z180" i="1"/>
  <c r="Z492" i="1"/>
  <c r="Z582" i="1"/>
  <c r="Z539" i="1"/>
  <c r="Z51" i="1"/>
  <c r="Z387" i="1"/>
  <c r="Z148" i="1"/>
  <c r="Z341" i="1"/>
  <c r="Z10" i="1"/>
  <c r="Z534" i="1"/>
  <c r="Z846" i="1"/>
  <c r="Z391" i="1"/>
  <c r="Z715" i="1"/>
  <c r="Z152" i="1"/>
  <c r="Z452" i="1"/>
  <c r="Z764" i="1"/>
  <c r="Z189" i="1"/>
  <c r="Z489" i="1"/>
  <c r="Z813" i="1"/>
  <c r="Z262" i="1"/>
  <c r="Z574" i="1"/>
  <c r="Z862" i="1"/>
  <c r="Z299" i="1"/>
  <c r="Z623" i="1"/>
  <c r="Z828" i="1"/>
  <c r="Z841" i="1"/>
  <c r="Z313" i="1"/>
  <c r="Z757" i="1"/>
  <c r="Z506" i="1"/>
  <c r="Z818" i="1"/>
  <c r="Z759" i="1"/>
  <c r="Z508" i="1"/>
  <c r="Z808" i="1"/>
  <c r="Z389" i="1"/>
  <c r="Z701" i="1"/>
  <c r="Z48" i="1"/>
  <c r="Z204" i="1"/>
  <c r="Z528" i="1"/>
  <c r="Z684" i="1"/>
  <c r="Z105" i="1"/>
  <c r="Z394" i="1"/>
  <c r="Z569" i="1"/>
  <c r="Z791" i="1"/>
  <c r="Z62" i="1"/>
  <c r="Z206" i="1"/>
  <c r="Z75" i="1"/>
  <c r="Z243" i="1"/>
  <c r="Z411" i="1"/>
  <c r="Z16" i="1"/>
  <c r="Z172" i="1"/>
  <c r="Z316" i="1"/>
  <c r="Z77" i="1"/>
  <c r="Z221" i="1"/>
  <c r="Z174" i="1"/>
  <c r="Z342" i="1"/>
  <c r="Z151" i="1"/>
  <c r="Z34" i="1"/>
  <c r="Z414" i="1"/>
  <c r="Z558" i="1"/>
  <c r="Z714" i="1"/>
  <c r="Z870" i="1"/>
  <c r="Z247" i="1"/>
  <c r="Z415" i="1"/>
  <c r="Z583" i="1"/>
  <c r="Z751" i="1"/>
  <c r="Z907" i="1"/>
  <c r="Z176" i="1"/>
  <c r="Z332" i="1"/>
  <c r="Z476" i="1"/>
  <c r="Z632" i="1"/>
  <c r="Z788" i="1"/>
  <c r="Z57" i="1"/>
  <c r="Z213" i="1"/>
  <c r="Z357" i="1"/>
  <c r="Z513" i="1"/>
  <c r="Z681" i="1"/>
  <c r="Z837" i="1"/>
  <c r="Z142" i="1"/>
  <c r="Z286" i="1"/>
  <c r="Z454" i="1"/>
  <c r="Z598" i="1"/>
  <c r="Z742" i="1"/>
  <c r="Z886" i="1"/>
  <c r="Z179" i="1"/>
  <c r="Z323" i="1"/>
  <c r="Z491" i="1"/>
  <c r="Z659" i="1"/>
  <c r="Z815" i="1"/>
  <c r="Z852" i="1"/>
  <c r="Z601" i="1"/>
  <c r="Z889" i="1"/>
  <c r="Z193" i="1"/>
  <c r="Z337" i="1"/>
  <c r="Z505" i="1"/>
  <c r="Z805" i="1"/>
  <c r="Z362" i="1"/>
  <c r="Z530" i="1"/>
  <c r="Z698" i="1"/>
  <c r="Z842" i="1"/>
  <c r="Z627" i="1"/>
  <c r="Z783" i="1"/>
  <c r="Z4" i="1"/>
  <c r="Z532" i="1"/>
  <c r="Z676" i="1"/>
  <c r="Z844" i="1"/>
  <c r="Z413" i="1"/>
  <c r="Z581" i="1"/>
  <c r="Z737" i="1"/>
  <c r="Z881" i="1"/>
  <c r="Z700" i="1"/>
  <c r="Z519" i="1"/>
  <c r="Z270" i="1"/>
  <c r="Z654" i="1"/>
  <c r="Z847" i="1"/>
  <c r="Z872" i="1"/>
  <c r="Z82" i="1"/>
  <c r="Z263" i="1"/>
  <c r="Z769" i="1"/>
  <c r="Z458" i="1"/>
  <c r="Z472" i="1"/>
  <c r="Z821" i="1"/>
  <c r="Z624" i="1"/>
  <c r="Z158" i="1"/>
  <c r="Z124" i="1"/>
  <c r="Z282" i="1"/>
  <c r="Z666" i="1"/>
  <c r="Z859" i="1"/>
  <c r="Z884" i="1"/>
  <c r="Z789" i="1"/>
  <c r="Z119" i="1"/>
  <c r="Z517" i="1"/>
  <c r="Z302" i="1"/>
  <c r="Z628" i="1"/>
  <c r="Z12" i="1"/>
  <c r="Z739" i="1"/>
  <c r="Z834" i="1"/>
  <c r="Z284" i="1"/>
  <c r="Z321" i="1"/>
  <c r="Z418" i="1"/>
  <c r="Z443" i="1"/>
  <c r="Z457" i="1"/>
  <c r="Z640" i="1"/>
  <c r="Z72" i="1"/>
  <c r="Z708" i="1"/>
  <c r="Z13" i="1"/>
  <c r="Z255" i="1"/>
  <c r="Z184" i="1"/>
  <c r="Z246" i="1"/>
  <c r="Z46" i="1"/>
  <c r="Z882" i="1"/>
  <c r="Z763" i="1"/>
  <c r="Z488" i="1"/>
  <c r="Z225" i="1"/>
  <c r="Z693" i="1"/>
  <c r="Z154" i="1"/>
  <c r="Z466" i="1"/>
  <c r="Z610" i="1"/>
  <c r="Z754" i="1"/>
  <c r="Z898" i="1"/>
  <c r="Z191" i="1"/>
  <c r="Z335" i="1"/>
  <c r="Z503" i="1"/>
  <c r="Z671" i="1"/>
  <c r="Z827" i="1"/>
  <c r="Z913" i="1"/>
  <c r="Z361" i="1"/>
  <c r="Z529" i="1"/>
  <c r="Z829" i="1"/>
  <c r="Z374" i="1"/>
  <c r="Z542" i="1"/>
  <c r="Z710" i="1"/>
  <c r="Z854" i="1"/>
  <c r="Z639" i="1"/>
  <c r="Z795" i="1"/>
  <c r="Z28" i="1"/>
  <c r="Z544" i="1"/>
  <c r="Z688" i="1"/>
  <c r="Z856" i="1"/>
  <c r="Z437" i="1"/>
  <c r="Z593" i="1"/>
  <c r="Z749" i="1"/>
  <c r="Z893" i="1"/>
  <c r="Z84" i="1"/>
  <c r="Z228" i="1"/>
  <c r="Z384" i="1"/>
  <c r="Z552" i="1"/>
  <c r="Z720" i="1"/>
  <c r="Z163" i="1"/>
  <c r="Z425" i="1"/>
  <c r="Z608" i="1"/>
  <c r="Z25" i="1"/>
  <c r="Z86" i="1"/>
  <c r="Z230" i="1"/>
  <c r="Z111" i="1"/>
  <c r="Z267" i="1"/>
  <c r="Z435" i="1"/>
  <c r="Z52" i="1"/>
  <c r="Z196" i="1"/>
  <c r="Z340" i="1"/>
  <c r="Z101" i="1"/>
  <c r="Z245" i="1"/>
  <c r="Z6" i="1"/>
  <c r="Z198" i="1"/>
  <c r="Z366" i="1"/>
  <c r="Z60" i="1"/>
  <c r="Z58" i="1"/>
  <c r="Z438" i="1"/>
  <c r="Z594" i="1"/>
  <c r="Z750" i="1"/>
  <c r="Z894" i="1"/>
  <c r="Z283" i="1"/>
  <c r="Z451" i="1"/>
  <c r="Z619" i="1"/>
  <c r="Z775" i="1"/>
  <c r="Z56" i="1"/>
  <c r="Z200" i="1"/>
  <c r="Z356" i="1"/>
  <c r="Z500" i="1"/>
  <c r="Z656" i="1"/>
  <c r="Z812" i="1"/>
  <c r="Z81" i="1"/>
  <c r="Z237" i="1"/>
  <c r="Z381" i="1"/>
  <c r="Z549" i="1"/>
  <c r="Z705" i="1"/>
  <c r="Z861" i="1"/>
  <c r="Z166" i="1"/>
  <c r="Z322" i="1"/>
  <c r="Z478" i="1"/>
  <c r="Z622" i="1"/>
  <c r="Z766" i="1"/>
  <c r="Z910" i="1"/>
  <c r="Z203" i="1"/>
  <c r="Z347" i="1"/>
  <c r="Z515" i="1"/>
  <c r="Z683" i="1"/>
  <c r="Z839" i="1"/>
  <c r="Z876" i="1"/>
  <c r="Z649" i="1"/>
  <c r="Z73" i="1"/>
  <c r="Z217" i="1"/>
  <c r="Z373" i="1"/>
  <c r="Z565" i="1"/>
  <c r="Z853" i="1"/>
  <c r="Z386" i="1"/>
  <c r="Z566" i="1"/>
  <c r="Z722" i="1"/>
  <c r="Z866" i="1"/>
  <c r="Z651" i="1"/>
  <c r="Z807" i="1"/>
  <c r="Z412" i="1"/>
  <c r="Z556" i="1"/>
  <c r="Z712" i="1"/>
  <c r="Z868" i="1"/>
  <c r="Z449" i="1"/>
  <c r="Z605" i="1"/>
  <c r="Z761" i="1"/>
  <c r="Z905" i="1"/>
  <c r="Z87" i="1"/>
  <c r="Z780" i="1"/>
  <c r="Z3" i="1"/>
  <c r="Z400" i="1"/>
  <c r="Z59" i="1"/>
  <c r="Z679" i="1"/>
  <c r="Z716" i="1"/>
  <c r="Z777" i="1"/>
  <c r="Z826" i="1"/>
  <c r="Z481" i="1"/>
  <c r="Z290" i="1"/>
  <c r="Z723" i="1"/>
  <c r="Z41" i="1"/>
  <c r="Z195" i="1"/>
  <c r="Z317" i="1"/>
  <c r="Z822" i="1"/>
  <c r="Z128" i="1"/>
  <c r="Z165" i="1"/>
  <c r="Z406" i="1"/>
  <c r="Z431" i="1"/>
  <c r="Z145" i="1"/>
  <c r="Z579" i="1"/>
  <c r="Z833" i="1"/>
  <c r="Z804" i="1"/>
  <c r="Z207" i="1"/>
  <c r="Z329" i="1"/>
  <c r="Z522" i="1"/>
  <c r="Z547" i="1"/>
  <c r="Z584" i="1"/>
  <c r="Z645" i="1"/>
  <c r="Z850" i="1"/>
  <c r="Z817" i="1"/>
  <c r="Z377" i="1"/>
  <c r="Z372" i="1"/>
  <c r="Z410" i="1"/>
  <c r="Z218" i="1"/>
  <c r="Z423" i="1"/>
  <c r="Z89" i="1"/>
  <c r="Z738" i="1"/>
  <c r="Z607" i="1"/>
  <c r="Z344" i="1"/>
  <c r="Z69" i="1"/>
  <c r="Z849" i="1"/>
  <c r="Z864" i="1"/>
  <c r="Z96" i="1"/>
  <c r="Z564" i="1"/>
  <c r="Z732" i="1"/>
  <c r="Z621" i="1"/>
  <c r="Z242" i="1"/>
  <c r="Z447" i="1"/>
  <c r="Z352" i="1"/>
  <c r="Z18" i="1"/>
  <c r="Z8" i="1"/>
  <c r="Z606" i="1"/>
  <c r="Z295" i="1"/>
  <c r="Z787" i="1"/>
  <c r="Z368" i="1"/>
  <c r="Z824" i="1"/>
  <c r="Z561" i="1"/>
  <c r="Z178" i="1"/>
  <c r="Z634" i="1"/>
  <c r="Z215" i="1"/>
  <c r="Z695" i="1"/>
  <c r="Z673" i="1"/>
  <c r="Z385" i="1"/>
  <c r="Z578" i="1"/>
  <c r="Z773" i="1"/>
  <c r="Z108" i="1"/>
  <c r="Z252" i="1"/>
  <c r="Z408" i="1"/>
  <c r="Z576" i="1"/>
  <c r="Z744" i="1"/>
  <c r="Z211" i="1"/>
  <c r="Z453" i="1"/>
  <c r="Z647" i="1"/>
  <c r="Z49" i="1"/>
  <c r="Z110" i="1"/>
  <c r="Z254" i="1"/>
  <c r="Z135" i="1"/>
  <c r="Z303" i="1"/>
  <c r="Z459" i="1"/>
  <c r="Z76" i="1"/>
  <c r="Z220" i="1"/>
  <c r="Z364" i="1"/>
  <c r="Z125" i="1"/>
  <c r="Z269" i="1"/>
  <c r="Z66" i="1"/>
  <c r="Z222" i="1"/>
  <c r="Z19" i="1"/>
  <c r="Z32" i="1"/>
  <c r="Z456" i="1"/>
  <c r="Z462" i="1"/>
  <c r="Z618" i="1"/>
  <c r="Z774" i="1"/>
  <c r="Z835" i="1"/>
  <c r="Z307" i="1"/>
  <c r="Z475" i="1"/>
  <c r="Z643" i="1"/>
  <c r="Z799" i="1"/>
  <c r="Z80" i="1"/>
  <c r="Z224" i="1"/>
  <c r="Z380" i="1"/>
  <c r="Z524" i="1"/>
  <c r="Z680" i="1"/>
  <c r="Z836" i="1"/>
  <c r="Z117" i="1"/>
  <c r="Z261" i="1"/>
  <c r="Z405" i="1"/>
  <c r="Z573" i="1"/>
  <c r="Z729" i="1"/>
  <c r="Z885" i="1"/>
  <c r="Z190" i="1"/>
  <c r="Z346" i="1"/>
  <c r="Z502" i="1"/>
  <c r="Z646" i="1"/>
  <c r="Z790" i="1"/>
  <c r="Z71" i="1"/>
  <c r="Z227" i="1"/>
  <c r="Z383" i="1"/>
  <c r="Z551" i="1"/>
  <c r="Z707" i="1"/>
  <c r="Z863" i="1"/>
  <c r="Z900" i="1"/>
  <c r="Z697" i="1"/>
  <c r="Z97" i="1"/>
  <c r="Z241" i="1"/>
  <c r="Z397" i="1"/>
  <c r="Z613" i="1"/>
  <c r="Z901" i="1"/>
  <c r="Z422" i="1"/>
  <c r="Z590" i="1"/>
  <c r="Z746" i="1"/>
  <c r="Z890" i="1"/>
  <c r="Z675" i="1"/>
  <c r="Z831" i="1"/>
  <c r="Z436" i="1"/>
  <c r="Z580" i="1"/>
  <c r="Z736" i="1"/>
  <c r="Z892" i="1"/>
  <c r="Z629" i="1"/>
  <c r="Z785" i="1"/>
  <c r="Z279" i="1"/>
  <c r="Z330" i="1"/>
  <c r="Z298" i="1"/>
  <c r="Z171" i="1"/>
  <c r="Z161" i="1"/>
  <c r="Z9" i="1"/>
  <c r="Z343" i="1"/>
  <c r="Z560" i="1"/>
  <c r="Z609" i="1"/>
  <c r="Z682" i="1"/>
  <c r="Z743" i="1"/>
  <c r="Z685" i="1"/>
  <c r="Z782" i="1"/>
  <c r="Z772" i="1"/>
  <c r="Z156" i="1"/>
  <c r="Z511" i="1"/>
  <c r="Z363" i="1"/>
  <c r="Z173" i="1"/>
  <c r="Z30" i="1"/>
  <c r="Z355" i="1"/>
  <c r="Z428" i="1"/>
  <c r="Z309" i="1"/>
  <c r="Z238" i="1"/>
  <c r="Z838" i="1"/>
  <c r="Z911" i="1"/>
  <c r="Z709" i="1"/>
  <c r="Z794" i="1"/>
  <c r="Z484" i="1"/>
  <c r="Z677" i="1"/>
  <c r="Z648" i="1"/>
  <c r="Z39" i="1"/>
  <c r="Z29" i="1"/>
  <c r="Z54" i="1"/>
  <c r="Z703" i="1"/>
  <c r="Z740" i="1"/>
  <c r="Z801" i="1"/>
  <c r="Z287" i="1"/>
  <c r="Z157" i="1"/>
  <c r="Z796" i="1"/>
  <c r="Z131" i="1"/>
  <c r="Z74" i="1"/>
  <c r="Z40" i="1"/>
  <c r="Z233" i="1"/>
  <c r="Z354" i="1"/>
  <c r="Z570" i="1"/>
  <c r="Z427" i="1"/>
  <c r="Z188" i="1"/>
  <c r="Z800" i="1"/>
  <c r="Z537" i="1"/>
  <c r="Z625" i="1"/>
  <c r="Z240" i="1"/>
  <c r="Z187" i="1"/>
  <c r="Z37" i="1"/>
  <c r="Z123" i="1"/>
  <c r="Z208" i="1"/>
  <c r="Z257" i="1"/>
  <c r="Z378" i="1"/>
  <c r="Z450" i="1"/>
  <c r="Z906" i="1"/>
  <c r="Z631" i="1"/>
  <c r="Z212" i="1"/>
  <c r="Z668" i="1"/>
  <c r="Z249" i="1"/>
  <c r="Z873" i="1"/>
  <c r="Z490" i="1"/>
  <c r="Z47" i="1"/>
  <c r="Z527" i="1"/>
  <c r="Z888" i="1"/>
  <c r="Z229" i="1"/>
  <c r="Z877" i="1"/>
  <c r="Z734" i="1"/>
  <c r="Z617" i="1"/>
  <c r="Z276" i="1"/>
  <c r="Z420" i="1"/>
  <c r="Z588" i="1"/>
  <c r="Z756" i="1"/>
  <c r="Z235" i="1"/>
  <c r="Z467" i="1"/>
  <c r="Z674" i="1"/>
  <c r="Z61" i="1"/>
  <c r="Z122" i="1"/>
  <c r="Z147" i="1"/>
  <c r="Z315" i="1"/>
  <c r="Z471" i="1"/>
  <c r="Z88" i="1"/>
  <c r="Z376" i="1"/>
  <c r="Z137" i="1"/>
  <c r="Z281" i="1"/>
  <c r="Z78" i="1"/>
  <c r="Z234" i="1"/>
  <c r="Z31" i="1"/>
  <c r="Z44" i="1"/>
  <c r="Z23" i="1"/>
  <c r="Z474" i="1"/>
  <c r="Z630" i="1"/>
  <c r="Z786" i="1"/>
  <c r="Z7" i="1"/>
  <c r="Z319" i="1"/>
  <c r="Z487" i="1"/>
  <c r="Z655" i="1"/>
  <c r="Z811" i="1"/>
  <c r="Z92" i="1"/>
  <c r="Z236" i="1"/>
  <c r="Z392" i="1"/>
  <c r="Z536" i="1"/>
  <c r="Z692" i="1"/>
  <c r="Z848" i="1"/>
  <c r="Z129" i="1"/>
  <c r="Z273" i="1"/>
  <c r="Z417" i="1"/>
  <c r="Z585" i="1"/>
  <c r="Z741" i="1"/>
  <c r="Z897" i="1"/>
  <c r="Z202" i="1"/>
  <c r="Z358" i="1"/>
  <c r="Z514" i="1"/>
  <c r="Z658" i="1"/>
  <c r="Z802" i="1"/>
  <c r="Z83" i="1"/>
  <c r="Z239" i="1"/>
  <c r="Z395" i="1"/>
  <c r="Z563" i="1"/>
  <c r="Z719" i="1"/>
  <c r="Z875" i="1"/>
  <c r="Z912" i="1"/>
  <c r="Z721" i="1"/>
  <c r="Z109" i="1"/>
  <c r="Z253" i="1"/>
  <c r="Z409" i="1"/>
  <c r="Z637" i="1"/>
  <c r="Z266" i="1"/>
  <c r="Z434" i="1"/>
  <c r="Z602" i="1"/>
  <c r="Z758" i="1"/>
  <c r="Z902" i="1"/>
  <c r="Z699" i="1"/>
  <c r="Z843" i="1"/>
  <c r="Z448" i="1"/>
  <c r="Z592" i="1"/>
  <c r="Z748" i="1"/>
  <c r="Z904" i="1"/>
  <c r="Z473" i="1"/>
  <c r="Z641" i="1"/>
  <c r="Z797" i="1"/>
  <c r="Z567" i="1"/>
  <c r="Z300" i="1"/>
  <c r="Z483" i="1"/>
  <c r="Z112" i="1"/>
  <c r="Z102" i="1"/>
  <c r="Z810" i="1"/>
  <c r="Z116" i="1"/>
  <c r="Z153" i="1"/>
  <c r="Z226" i="1"/>
  <c r="Z107" i="1"/>
  <c r="Z899" i="1"/>
  <c r="Z433" i="1"/>
  <c r="Z15" i="1"/>
  <c r="Z616" i="1"/>
  <c r="Z726" i="1"/>
  <c r="Z268" i="1"/>
  <c r="Z103" i="1"/>
  <c r="Z67" i="1"/>
  <c r="Z272" i="1"/>
  <c r="Z465" i="1"/>
  <c r="Z550" i="1"/>
  <c r="Z599" i="1"/>
  <c r="Z289" i="1"/>
  <c r="Z638" i="1"/>
  <c r="Z879" i="1"/>
  <c r="Z784" i="1"/>
  <c r="Z168" i="1"/>
  <c r="Z338" i="1"/>
  <c r="Z170" i="1"/>
  <c r="Z280" i="1"/>
  <c r="Z115" i="1"/>
  <c r="Z367" i="1"/>
  <c r="Z440" i="1"/>
  <c r="Z477" i="1"/>
  <c r="Z562" i="1"/>
  <c r="Z541" i="1"/>
  <c r="Z533" i="1"/>
  <c r="Z540" i="1"/>
  <c r="Z595" i="1"/>
  <c r="Z99" i="1"/>
  <c r="Z328" i="1"/>
  <c r="Z186" i="1"/>
  <c r="Z426" i="1"/>
  <c r="Z271" i="1"/>
  <c r="Z20" i="1"/>
  <c r="Z644" i="1"/>
  <c r="Z369" i="1"/>
  <c r="Z310" i="1"/>
  <c r="Z205" i="1"/>
  <c r="Z396" i="1"/>
  <c r="Z439" i="1"/>
  <c r="Z98" i="1"/>
  <c r="Z291" i="1"/>
  <c r="Z64" i="1"/>
  <c r="Z113" i="1"/>
  <c r="Z210" i="1"/>
  <c r="Z70" i="1"/>
  <c r="Z762" i="1"/>
  <c r="Z463" i="1"/>
  <c r="Z68" i="1"/>
  <c r="Z512" i="1"/>
  <c r="Z93" i="1"/>
  <c r="Z393" i="1"/>
  <c r="Z717" i="1"/>
  <c r="Z334" i="1"/>
  <c r="Z778" i="1"/>
  <c r="Z371" i="1"/>
  <c r="Z851" i="1"/>
  <c r="Z85" i="1"/>
  <c r="Z589" i="1"/>
  <c r="Z398" i="1"/>
  <c r="Z878" i="1"/>
  <c r="Z663" i="1"/>
  <c r="Z819" i="1"/>
  <c r="Z424" i="1"/>
  <c r="Z568" i="1"/>
  <c r="Z724" i="1"/>
  <c r="Z880" i="1"/>
  <c r="Z150" i="1"/>
  <c r="Z132" i="1"/>
  <c r="Z288" i="1"/>
  <c r="Z432" i="1"/>
  <c r="Z600" i="1"/>
  <c r="Z768" i="1"/>
  <c r="Z259" i="1"/>
  <c r="Z482" i="1"/>
  <c r="Z687" i="1"/>
  <c r="Z183" i="1"/>
  <c r="Z134" i="1"/>
  <c r="Z495" i="1"/>
  <c r="Z159" i="1"/>
  <c r="Z327" i="1"/>
  <c r="Z507" i="1"/>
  <c r="Z100" i="1"/>
  <c r="Z244" i="1"/>
  <c r="Z388" i="1"/>
  <c r="Z149" i="1"/>
  <c r="Z293" i="1"/>
  <c r="Z90" i="1"/>
  <c r="Z258" i="1"/>
  <c r="Z79" i="1"/>
  <c r="Z35" i="1"/>
  <c r="Z486" i="1"/>
  <c r="Z642" i="1"/>
  <c r="Z798" i="1"/>
  <c r="Z43" i="1"/>
  <c r="Z331" i="1"/>
  <c r="Z499" i="1"/>
  <c r="Z667" i="1"/>
  <c r="Z823" i="1"/>
  <c r="Z104" i="1"/>
  <c r="Z248" i="1"/>
  <c r="Z404" i="1"/>
  <c r="Z548" i="1"/>
  <c r="Z704" i="1"/>
  <c r="Z860" i="1"/>
  <c r="Z141" i="1"/>
  <c r="Z285" i="1"/>
  <c r="Z429" i="1"/>
  <c r="Z597" i="1"/>
  <c r="Z753" i="1"/>
  <c r="Z909" i="1"/>
  <c r="Z214" i="1"/>
  <c r="Z370" i="1"/>
  <c r="Z526" i="1"/>
  <c r="Z670" i="1"/>
  <c r="Z814" i="1"/>
  <c r="Z95" i="1"/>
  <c r="Z251" i="1"/>
  <c r="Z407" i="1"/>
  <c r="Z575" i="1"/>
  <c r="Z731" i="1"/>
  <c r="Z887" i="1"/>
  <c r="Z349" i="1"/>
  <c r="Z745" i="1"/>
  <c r="Z121" i="1"/>
  <c r="Z265" i="1"/>
  <c r="Z421" i="1"/>
  <c r="Z661" i="1"/>
  <c r="Z278" i="1"/>
  <c r="Z446" i="1"/>
  <c r="Z614" i="1"/>
  <c r="Z770" i="1"/>
  <c r="Z2" i="1"/>
  <c r="Z711" i="1"/>
  <c r="Z855" i="1"/>
  <c r="Z460" i="1"/>
  <c r="Z604" i="1"/>
  <c r="Z760" i="1"/>
  <c r="Z17" i="1"/>
  <c r="Z485" i="1"/>
  <c r="Z653" i="1"/>
  <c r="Z809" i="1"/>
  <c r="Z339" i="1"/>
</calcChain>
</file>

<file path=xl/sharedStrings.xml><?xml version="1.0" encoding="utf-8"?>
<sst xmlns="http://schemas.openxmlformats.org/spreadsheetml/2006/main" count="11968" uniqueCount="2788">
  <si>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</si>
  <si>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</si>
  <si>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</si>
  <si>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</si>
  <si>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</si>
  <si>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</si>
  <si>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</si>
  <si>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</si>
  <si>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</si>
  <si>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</si>
  <si>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</si>
  <si>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</si>
  <si>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</si>
  <si>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</si>
  <si>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</si>
  <si>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</si>
  <si>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</si>
  <si>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</si>
  <si>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</si>
  <si>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</si>
  <si>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</si>
  <si>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</si>
  <si>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</si>
  <si>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</si>
  <si>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</si>
  <si>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</si>
  <si>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</si>
  <si>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</si>
  <si>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</si>
  <si>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</si>
  <si>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</si>
  <si>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</si>
  <si>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</si>
  <si>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</si>
  <si>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</si>
  <si>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</si>
  <si>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</si>
  <si>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</si>
  <si>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</si>
  <si>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</si>
  <si>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</si>
  <si>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</si>
  <si>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</si>
  <si>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</si>
  <si>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</si>
  <si>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</si>
  <si>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</si>
  <si>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</si>
  <si>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</si>
  <si>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</si>
  <si>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</si>
  <si>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</si>
  <si>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</si>
  <si>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</si>
  <si>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</si>
  <si>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</si>
  <si>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</si>
  <si>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</si>
  <si>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</si>
  <si>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</si>
  <si>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</si>
  <si>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</si>
  <si>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</si>
  <si>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</si>
  <si>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</si>
  <si>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</si>
  <si>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</si>
  <si>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</si>
  <si>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</si>
  <si>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</si>
  <si>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</si>
  <si>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</si>
  <si>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</si>
  <si>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</si>
  <si>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</si>
  <si>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</si>
  <si>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</si>
  <si>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</si>
  <si>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</si>
  <si>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</si>
  <si>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</si>
  <si>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</si>
  <si>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</si>
  <si>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</si>
  <si>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</si>
  <si>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</si>
  <si>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</si>
  <si>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</si>
  <si>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</si>
  <si>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</si>
  <si>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</si>
  <si>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</si>
  <si>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</si>
  <si>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</si>
  <si>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</si>
  <si>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</si>
  <si>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</si>
  <si>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</si>
  <si>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</si>
  <si>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</si>
  <si>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</si>
  <si>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</si>
  <si>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</si>
  <si>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</si>
  <si>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</si>
  <si>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</si>
  <si>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</si>
  <si>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</si>
  <si>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</si>
  <si>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</si>
  <si>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</si>
  <si>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</si>
  <si>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</si>
  <si>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</si>
  <si>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</si>
  <si>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</si>
  <si>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</si>
  <si>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</si>
  <si>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</si>
  <si>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</si>
  <si>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</si>
  <si>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</si>
  <si>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</si>
  <si>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</si>
  <si>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</si>
  <si>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</si>
  <si>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</si>
  <si>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</si>
  <si>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</si>
  <si>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</si>
  <si>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</si>
  <si>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</si>
  <si>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</si>
  <si>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</si>
  <si>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</si>
  <si>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</si>
  <si>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</si>
  <si>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</si>
  <si>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</si>
  <si>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</si>
  <si>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</si>
  <si>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</si>
  <si>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</si>
  <si>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</si>
  <si>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</si>
  <si>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</si>
  <si>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</si>
  <si>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</si>
  <si>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</si>
  <si>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</si>
  <si>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</si>
  <si>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</si>
  <si>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</si>
  <si>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</si>
  <si>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</si>
  <si>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</si>
  <si>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</si>
  <si>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</si>
  <si>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</si>
  <si>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</si>
  <si>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</si>
  <si>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</si>
  <si>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</si>
  <si>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</si>
  <si>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</si>
  <si>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</si>
  <si>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</si>
  <si>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</si>
  <si>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</si>
  <si>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</si>
  <si>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</si>
  <si>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</si>
  <si>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</si>
  <si>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</si>
  <si>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</si>
  <si>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</si>
  <si>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</si>
  <si>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</si>
  <si>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</si>
  <si>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</si>
  <si>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</si>
  <si>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</si>
  <si>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</si>
  <si>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</si>
  <si>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</si>
  <si>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</si>
  <si>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</si>
  <si>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</si>
  <si>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</si>
  <si>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</si>
  <si>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</si>
  <si>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</si>
  <si>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</si>
  <si>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</si>
  <si>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</si>
  <si>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</si>
  <si>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</si>
  <si>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</si>
  <si>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</si>
  <si>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</si>
  <si>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</si>
  <si>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</si>
  <si>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</si>
  <si>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</si>
  <si>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</si>
  <si>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</si>
  <si>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</si>
  <si>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</si>
  <si>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</si>
  <si>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</si>
  <si>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</si>
  <si>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</si>
  <si>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</si>
  <si>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</si>
  <si>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</si>
  <si>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</si>
  <si>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</si>
  <si>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</si>
  <si>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</si>
  <si>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</si>
  <si>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</si>
  <si>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</si>
  <si>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</si>
  <si>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</si>
  <si>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</si>
  <si>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</si>
  <si>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</si>
  <si>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</si>
  <si>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</si>
  <si>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</si>
  <si>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</si>
  <si>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</si>
  <si>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</si>
  <si>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</si>
  <si>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</si>
  <si>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</si>
  <si>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</si>
  <si>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</si>
  <si>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</si>
  <si>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</si>
  <si>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</si>
  <si>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</si>
  <si>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</si>
  <si>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</si>
  <si>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</si>
  <si>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</si>
  <si>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</si>
  <si>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</si>
  <si>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</si>
  <si>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</si>
  <si>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</si>
  <si>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</si>
  <si>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</si>
  <si>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</si>
  <si>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</si>
  <si>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</si>
  <si>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</si>
  <si>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</si>
  <si>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</si>
  <si>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</si>
  <si>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</si>
  <si>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</si>
  <si>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</si>
  <si>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</si>
  <si>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</si>
  <si>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</si>
  <si>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</si>
  <si>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</si>
  <si>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</si>
  <si>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</si>
  <si>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</si>
  <si>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</si>
  <si>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</si>
  <si>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</si>
  <si>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</si>
  <si>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</si>
  <si>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</si>
  <si>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</si>
  <si>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</si>
  <si>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</si>
  <si>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</si>
  <si>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</si>
  <si>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</si>
  <si>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</si>
  <si>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</si>
  <si>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</si>
  <si>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</si>
  <si>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</si>
  <si>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</si>
  <si>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</si>
  <si>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</si>
  <si>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</si>
  <si>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</si>
  <si>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</si>
  <si>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</si>
  <si>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</si>
  <si>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</si>
  <si>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</si>
  <si>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</si>
  <si>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</si>
  <si>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</si>
  <si>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</si>
  <si>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</si>
  <si>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</si>
  <si>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</si>
  <si>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</si>
  <si>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</si>
  <si>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</si>
  <si>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</si>
  <si>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</si>
  <si>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</si>
  <si>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</si>
  <si>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</si>
  <si>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</si>
  <si>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</si>
  <si>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</si>
  <si>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</si>
  <si>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</si>
  <si>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</si>
  <si>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</si>
  <si>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</si>
  <si>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</si>
  <si>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</si>
  <si>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</si>
  <si>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</si>
  <si>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</si>
  <si>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</si>
  <si>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</si>
  <si>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</si>
  <si>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</si>
  <si>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</si>
  <si>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</si>
  <si>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</si>
  <si>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</si>
  <si>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</si>
  <si>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</si>
  <si>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</si>
  <si>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</si>
  <si>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</si>
  <si>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</si>
  <si>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</si>
  <si>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</si>
  <si>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</si>
  <si>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</si>
  <si>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</si>
  <si>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</si>
  <si>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</si>
  <si>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</si>
  <si>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</si>
  <si>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</si>
  <si>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</si>
  <si>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</si>
  <si>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</si>
  <si>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</si>
  <si>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</si>
  <si>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</si>
  <si>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</si>
  <si>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</si>
  <si>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</si>
  <si>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</si>
  <si>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</si>
  <si>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</si>
  <si>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</si>
  <si>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</si>
  <si>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</si>
  <si>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</si>
  <si>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</si>
  <si>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</si>
  <si>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</si>
  <si>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</si>
  <si>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</si>
  <si>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</si>
  <si>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</si>
  <si>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</si>
  <si>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</si>
  <si>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</si>
  <si>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</si>
  <si>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</si>
  <si>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</si>
  <si>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</si>
  <si>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</si>
  <si>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</si>
  <si>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</si>
  <si>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</si>
  <si>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</si>
  <si>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</si>
  <si>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</si>
  <si>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</si>
  <si>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</si>
  <si>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</si>
  <si>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</si>
  <si>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</si>
  <si>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</si>
  <si>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</si>
  <si>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</si>
  <si>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</si>
  <si>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</si>
  <si>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</si>
  <si>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</si>
  <si>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</si>
  <si>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</si>
  <si>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</si>
  <si>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</si>
  <si>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</si>
  <si>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</si>
  <si>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</si>
  <si>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</si>
  <si>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</si>
  <si>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</si>
  <si>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</si>
  <si>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</si>
  <si>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</si>
  <si>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</si>
  <si>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</si>
  <si>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</si>
  <si>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</si>
  <si>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</si>
  <si>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</si>
  <si>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</si>
  <si>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</si>
  <si>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</si>
  <si>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</si>
  <si>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</si>
  <si>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</si>
  <si>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</si>
  <si>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</si>
  <si>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</si>
  <si>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</si>
  <si>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</si>
  <si>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</si>
  <si>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</si>
  <si>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</si>
  <si>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</si>
  <si>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</si>
  <si>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</si>
  <si>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</si>
  <si>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</si>
  <si>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</si>
  <si>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</si>
  <si>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</si>
  <si>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</si>
  <si>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</si>
  <si>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</si>
  <si>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</si>
  <si>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</si>
  <si>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</si>
  <si>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</si>
  <si>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</si>
  <si>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</si>
  <si>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</si>
  <si>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</si>
  <si>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</si>
  <si>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</si>
  <si>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</si>
  <si>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</si>
  <si>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</si>
  <si>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</si>
  <si>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</si>
  <si>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</si>
  <si>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</si>
  <si>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</si>
  <si>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</si>
  <si>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</si>
  <si>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</si>
  <si>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</si>
  <si>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</si>
  <si>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</si>
  <si>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</si>
  <si>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</si>
  <si>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</si>
  <si>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</si>
  <si>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</si>
  <si>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</si>
  <si>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</si>
  <si>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</si>
  <si>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</si>
  <si>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</si>
  <si>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</si>
  <si>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</si>
  <si>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</si>
  <si>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</si>
  <si>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</si>
  <si>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</si>
  <si>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</si>
  <si>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</si>
  <si>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</si>
  <si>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</si>
  <si>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</si>
  <si>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</si>
  <si>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</si>
  <si>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</si>
  <si>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</si>
  <si>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</si>
  <si>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</si>
  <si>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</si>
  <si>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</si>
  <si>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</si>
  <si>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</si>
  <si>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</si>
  <si>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</si>
  <si>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</si>
  <si>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</si>
  <si>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</si>
  <si>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</si>
  <si>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</si>
  <si>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</si>
  <si>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</si>
  <si>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</si>
  <si>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</si>
  <si>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</si>
  <si>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</si>
  <si>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</si>
  <si>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</si>
  <si>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</si>
  <si>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</si>
  <si>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</si>
  <si>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</si>
  <si>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</si>
  <si>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</si>
  <si>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</si>
  <si>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</si>
  <si>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</si>
  <si>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</si>
  <si>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</si>
  <si>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</si>
  <si>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</si>
  <si>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</si>
  <si>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</si>
  <si>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</si>
  <si>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</si>
  <si>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</si>
  <si>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</si>
  <si>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</si>
  <si>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</si>
  <si>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</si>
  <si>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</si>
  <si>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</si>
  <si>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</si>
  <si>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</si>
  <si>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</si>
  <si>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</si>
  <si>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</si>
  <si>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</si>
  <si>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</si>
  <si>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</si>
  <si>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</si>
  <si>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</si>
  <si>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</si>
  <si>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</si>
  <si>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</si>
  <si>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</si>
  <si>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</si>
  <si>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</si>
  <si>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</si>
  <si>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</si>
  <si>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</si>
  <si>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</si>
  <si>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</si>
  <si>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</si>
  <si>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</si>
  <si>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</si>
  <si>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</si>
  <si>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</si>
  <si>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</si>
  <si>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</si>
  <si>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</si>
  <si>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</si>
  <si>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</si>
  <si>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</si>
  <si>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</si>
  <si>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</si>
  <si>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</si>
  <si>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</si>
  <si>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</si>
  <si>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</si>
  <si>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</si>
  <si>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</si>
  <si>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</si>
  <si>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</si>
  <si>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</si>
  <si>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</si>
  <si>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</si>
  <si>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</si>
  <si>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</si>
  <si>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</si>
  <si>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</si>
  <si>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</si>
  <si>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</si>
  <si>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</si>
  <si>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</si>
  <si>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</si>
  <si>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</si>
  <si>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</si>
  <si>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</si>
  <si>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</si>
  <si>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</si>
  <si>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</si>
  <si>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</si>
  <si>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</si>
  <si>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</si>
  <si>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</si>
  <si>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</si>
  <si>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</si>
  <si>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</si>
  <si>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</si>
  <si>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</si>
  <si>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</si>
  <si>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</si>
  <si>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</si>
  <si>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</si>
  <si>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</si>
  <si>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</si>
  <si>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</si>
  <si>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</si>
  <si>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</si>
  <si>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</si>
  <si>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</si>
  <si>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</si>
  <si>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</si>
  <si>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</si>
  <si>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</si>
  <si>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</si>
  <si>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</si>
  <si>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</si>
  <si>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</si>
  <si>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</si>
  <si>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</si>
  <si>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</si>
  <si>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</si>
  <si>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</si>
  <si>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</si>
  <si>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</si>
  <si>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</si>
  <si>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</si>
  <si>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</si>
  <si>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</si>
  <si>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</si>
  <si>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</si>
  <si>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</si>
  <si>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</si>
  <si>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</si>
  <si>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</si>
  <si>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</si>
  <si>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</si>
  <si>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</si>
  <si>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</si>
  <si>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</si>
  <si>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</si>
  <si>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</si>
  <si>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</si>
  <si>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</si>
  <si>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</si>
  <si>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</si>
  <si>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</si>
  <si>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</si>
  <si>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</si>
  <si>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</si>
  <si>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</si>
  <si>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</si>
  <si>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</si>
  <si>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</si>
  <si>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</si>
  <si>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</si>
  <si>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</si>
  <si>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</si>
  <si>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</si>
  <si>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</si>
  <si>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</si>
  <si>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</si>
  <si>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</si>
  <si>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</si>
  <si>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</si>
  <si>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</si>
  <si>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</si>
  <si>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</si>
  <si>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</si>
  <si>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</si>
  <si>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</si>
  <si>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</si>
  <si>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</si>
  <si>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</si>
  <si>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</si>
  <si>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</si>
  <si>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</si>
  <si>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</si>
  <si>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</si>
  <si>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</si>
  <si>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</si>
  <si>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</si>
  <si>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</si>
  <si>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</si>
  <si>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</si>
  <si>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</si>
  <si>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</si>
  <si>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</si>
  <si>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</si>
  <si>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</si>
  <si>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</si>
  <si>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</si>
  <si>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</si>
  <si>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</si>
  <si>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</si>
  <si>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</si>
  <si>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</si>
  <si>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</si>
  <si>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</si>
  <si>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</si>
  <si>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</si>
  <si>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</si>
  <si>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</si>
  <si>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</si>
  <si>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</si>
  <si>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</si>
  <si>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</si>
  <si>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</si>
  <si>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</si>
  <si>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</si>
  <si>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</si>
  <si>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</si>
  <si>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</si>
  <si>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</si>
  <si>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</si>
  <si>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</si>
  <si>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</si>
  <si>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</si>
  <si>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</si>
  <si>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</si>
  <si>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</si>
  <si>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</si>
  <si>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</si>
  <si>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</si>
  <si>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</si>
  <si>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</si>
  <si>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</si>
  <si>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</si>
  <si>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</si>
  <si>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</si>
  <si>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</si>
  <si>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</si>
  <si>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</si>
  <si>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</si>
  <si>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</si>
  <si>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</si>
  <si>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</si>
  <si>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</si>
  <si>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</si>
  <si>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</si>
  <si>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</si>
  <si>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</si>
  <si>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</si>
  <si>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</si>
  <si>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</si>
  <si>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</si>
  <si>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</si>
  <si>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</si>
  <si>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</si>
  <si>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</si>
  <si>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</si>
  <si>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</si>
  <si>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</si>
  <si>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</si>
  <si>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</si>
  <si>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</si>
  <si>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</si>
  <si>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</si>
  <si>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</si>
  <si>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</si>
  <si>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</si>
  <si>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</si>
  <si>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</si>
  <si>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</si>
  <si>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</si>
  <si>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</si>
  <si>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</si>
  <si>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</si>
  <si>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</si>
  <si>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</si>
  <si>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</si>
  <si>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</si>
  <si>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</si>
  <si>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</si>
  <si>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</si>
  <si>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</si>
  <si>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</si>
  <si>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</si>
  <si>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</si>
  <si>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</si>
  <si>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</si>
  <si>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</si>
  <si>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</si>
  <si>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</si>
  <si>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</si>
  <si>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</si>
  <si>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</si>
  <si>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</si>
  <si>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</si>
  <si>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</si>
  <si>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</si>
  <si>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</si>
  <si>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</si>
  <si>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</si>
  <si>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</si>
  <si>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</si>
  <si>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</si>
  <si>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</si>
  <si>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</si>
  <si>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</si>
  <si>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</si>
  <si>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</si>
  <si>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</si>
  <si>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</si>
  <si>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</si>
  <si>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</si>
  <si>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</si>
  <si>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</si>
  <si>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</si>
  <si>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</si>
  <si>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</si>
  <si>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</si>
  <si>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</si>
  <si>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</si>
  <si>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</si>
  <si>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</si>
  <si>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</si>
  <si>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</si>
  <si>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</si>
  <si>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</si>
  <si>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</si>
  <si>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</si>
  <si>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</si>
  <si>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</si>
  <si>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</si>
  <si>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</si>
  <si>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</si>
  <si>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</si>
  <si>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</si>
  <si>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</si>
  <si>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</si>
  <si>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</si>
  <si>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</si>
  <si>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</si>
  <si>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</si>
  <si>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</si>
  <si>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</si>
  <si>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</si>
  <si>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</si>
  <si>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</si>
  <si>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</si>
  <si>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</si>
  <si>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</si>
  <si>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</si>
  <si>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</si>
  <si>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</si>
  <si>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</si>
  <si>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</si>
  <si>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</si>
  <si>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</si>
  <si>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</si>
  <si>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</si>
  <si>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</si>
  <si>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</si>
  <si>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</si>
  <si>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</si>
  <si>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</si>
  <si>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</si>
  <si>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</si>
  <si>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</si>
  <si>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</si>
  <si>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</si>
  <si>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</si>
  <si>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</si>
  <si>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</si>
  <si>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</si>
  <si>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</si>
  <si>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</si>
  <si>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</si>
  <si>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</si>
  <si>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</si>
  <si>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</si>
  <si>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</si>
  <si>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</si>
  <si>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</si>
  <si>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</si>
  <si>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</si>
  <si>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</si>
  <si>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</si>
  <si>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</si>
  <si>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</si>
  <si>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</si>
  <si>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</si>
  <si>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</si>
  <si>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</si>
  <si>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</si>
  <si>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</si>
  <si>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</si>
  <si>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</si>
  <si>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</si>
  <si>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</si>
  <si>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</si>
  <si>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</si>
  <si>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</si>
  <si>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</si>
  <si>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</si>
  <si>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</si>
  <si>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</si>
  <si>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</si>
  <si>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</si>
  <si>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</si>
  <si>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</si>
  <si>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</si>
  <si>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</si>
  <si>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</si>
  <si>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</si>
  <si>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</si>
  <si>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</si>
  <si>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</si>
  <si>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</si>
  <si>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</si>
  <si>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</si>
  <si>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</si>
  <si>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</si>
  <si>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</si>
  <si>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</si>
  <si>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</si>
  <si>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</si>
  <si>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</si>
  <si>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</si>
  <si>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</si>
  <si>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</si>
  <si>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</si>
  <si>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</si>
  <si>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</si>
  <si>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</si>
  <si>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</si>
  <si>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</si>
  <si>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</si>
  <si>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</si>
  <si>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</si>
  <si>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</si>
  <si>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</si>
  <si>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</si>
  <si>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</si>
  <si>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</si>
  <si>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</si>
  <si>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</si>
  <si>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</si>
  <si>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</si>
  <si>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</si>
  <si>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</si>
  <si>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</si>
  <si>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</si>
  <si>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</si>
  <si>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</si>
  <si>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</si>
  <si>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</si>
  <si>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</si>
  <si>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</si>
  <si>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</si>
  <si>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</si>
  <si>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</si>
  <si>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</si>
  <si>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</si>
  <si>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</si>
  <si>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</si>
  <si>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</si>
  <si>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</si>
  <si>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</si>
  <si>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</si>
  <si>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</si>
  <si>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</si>
  <si>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</si>
  <si>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</si>
  <si>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</si>
  <si>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</si>
  <si>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</si>
  <si>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</si>
  <si>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</si>
  <si>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</si>
  <si>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</si>
  <si>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</si>
  <si>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</si>
  <si>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</si>
  <si>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</si>
  <si>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</si>
  <si>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</si>
  <si>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</si>
  <si>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</si>
  <si>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</si>
  <si>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</si>
  <si>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</si>
  <si>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</si>
  <si>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</si>
  <si>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</si>
  <si>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</si>
  <si>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</si>
  <si>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</si>
  <si>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</si>
  <si>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</si>
  <si>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</si>
  <si>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</si>
  <si>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</si>
  <si>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</si>
  <si>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</si>
  <si>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</si>
  <si>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</si>
  <si>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</si>
  <si>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</si>
  <si>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</si>
  <si>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</si>
  <si>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</si>
  <si>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</si>
  <si>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</si>
  <si>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</si>
  <si>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</si>
  <si>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</si>
  <si>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</si>
  <si>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</si>
  <si>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</si>
  <si>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</si>
  <si>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</si>
  <si>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</si>
  <si>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</si>
  <si>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</si>
  <si>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</si>
  <si>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</si>
  <si>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</si>
  <si>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</si>
  <si>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</si>
  <si>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</si>
  <si>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</si>
  <si>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</si>
  <si>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</si>
  <si>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</si>
  <si>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</si>
  <si>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</si>
  <si>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</si>
  <si>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</si>
  <si>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</si>
  <si>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</si>
  <si>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</si>
  <si>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</si>
  <si>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</si>
  <si>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</si>
  <si>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</si>
  <si>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</si>
  <si>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</si>
  <si>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</si>
  <si>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</si>
  <si>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</si>
  <si>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</si>
  <si>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</si>
  <si>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</si>
  <si>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</si>
  <si>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</si>
  <si>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</si>
  <si>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</si>
  <si>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</si>
  <si>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</si>
  <si>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</si>
  <si>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</si>
  <si>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</si>
  <si>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</si>
  <si>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</si>
  <si>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</si>
  <si>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</si>
  <si>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</si>
  <si>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</si>
  <si>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</si>
  <si>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</si>
  <si>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</si>
  <si>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</si>
  <si>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</si>
  <si>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</si>
  <si>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</si>
  <si>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</si>
  <si>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</si>
  <si>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</si>
  <si>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</si>
  <si>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</si>
  <si>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</si>
  <si>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</si>
  <si>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</si>
  <si>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</si>
  <si>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</si>
  <si>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</si>
  <si>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</si>
  <si>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</si>
  <si>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</si>
  <si>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</si>
  <si>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</si>
  <si>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</si>
  <si>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</si>
  <si>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</si>
  <si>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</si>
  <si>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</si>
  <si>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</si>
  <si>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</si>
  <si>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</si>
  <si>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</si>
  <si>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</si>
  <si>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</si>
  <si>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</si>
  <si>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</si>
  <si>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</si>
  <si>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</si>
  <si>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</si>
  <si>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</si>
  <si>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</si>
  <si>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</si>
  <si>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</si>
  <si>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</si>
  <si>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</si>
  <si>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</si>
  <si>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</si>
  <si>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</si>
  <si>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</si>
  <si>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</si>
  <si>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</si>
  <si>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</si>
  <si>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</si>
  <si>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</si>
  <si>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</si>
  <si>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</si>
  <si>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</si>
  <si>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</si>
  <si>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</si>
  <si>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</si>
  <si>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</si>
  <si>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</si>
  <si>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</si>
  <si>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</si>
  <si>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</si>
  <si>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</si>
  <si>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</si>
  <si>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</si>
  <si>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</si>
  <si>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</si>
  <si>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</si>
  <si>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</si>
  <si>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</si>
  <si>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</si>
  <si>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</si>
  <si>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</si>
  <si>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</si>
  <si>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</si>
  <si>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</si>
  <si>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</si>
  <si>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</si>
  <si>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</si>
  <si>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</si>
  <si>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</si>
  <si>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</si>
  <si>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</si>
  <si>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</si>
  <si>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</si>
  <si>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</si>
  <si>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</si>
  <si>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</si>
  <si>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</si>
  <si>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</si>
  <si>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</si>
  <si>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</si>
  <si>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</si>
  <si>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</si>
  <si>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</si>
  <si>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</si>
  <si>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</si>
  <si>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</si>
  <si>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</si>
  <si>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</si>
  <si>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</si>
  <si>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</si>
  <si>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</si>
  <si>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</si>
  <si>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</si>
  <si>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</si>
  <si>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</si>
  <si>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</si>
  <si>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</si>
  <si>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</si>
  <si>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</si>
  <si>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</si>
  <si>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</si>
  <si>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</si>
  <si>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</si>
  <si>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</si>
  <si>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</si>
  <si>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</si>
  <si>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</si>
  <si>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</si>
  <si>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</si>
  <si>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</si>
  <si>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</si>
  <si>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</si>
  <si>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</si>
  <si>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</si>
  <si>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</si>
  <si>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</si>
  <si>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</si>
  <si>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</si>
  <si>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</si>
  <si>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</si>
  <si>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</si>
  <si>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</si>
  <si>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</si>
  <si>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</si>
  <si>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</si>
  <si>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</si>
  <si>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</si>
  <si>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</si>
  <si>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</si>
  <si>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</si>
  <si>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</si>
  <si>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</si>
  <si>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</si>
  <si>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</si>
  <si>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</si>
  <si>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</si>
  <si>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</si>
  <si>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</si>
  <si>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</si>
  <si>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</si>
  <si>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</si>
  <si>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</si>
  <si>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</si>
  <si>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</si>
  <si>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</si>
  <si>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</si>
  <si>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</si>
  <si>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</si>
  <si>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</si>
  <si>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</si>
  <si>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</si>
  <si>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</si>
  <si>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</si>
  <si>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</si>
  <si>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</si>
  <si>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</si>
  <si>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</si>
  <si>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</si>
  <si>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</si>
  <si>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</si>
  <si>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</si>
  <si>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</si>
  <si>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</si>
  <si>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</si>
  <si>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</si>
  <si>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</si>
  <si>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</si>
  <si>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</si>
  <si>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</si>
  <si>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</si>
  <si>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</si>
  <si>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</si>
  <si>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</si>
  <si>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</si>
  <si>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</si>
  <si>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</si>
  <si>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</si>
  <si>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</si>
  <si>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</si>
  <si>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</si>
  <si>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</si>
  <si>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</si>
  <si>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</si>
  <si>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</si>
  <si>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</si>
  <si>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</si>
  <si>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</si>
  <si>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</si>
  <si>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</si>
  <si>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</si>
  <si>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</si>
  <si>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</si>
  <si>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</si>
  <si>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</si>
  <si>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</si>
  <si>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</si>
  <si>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</si>
  <si>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</si>
  <si>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</si>
  <si>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</si>
  <si>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</si>
  <si>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</si>
  <si>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</si>
  <si>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</si>
  <si>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</si>
  <si>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</si>
  <si>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</si>
  <si>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</si>
  <si>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</si>
  <si>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</si>
  <si>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</si>
  <si>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</si>
  <si>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</si>
  <si>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</si>
  <si>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</si>
  <si>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</si>
  <si>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</si>
  <si>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</si>
  <si>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</si>
  <si>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</si>
  <si>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</si>
  <si>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</si>
  <si>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</si>
  <si>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</si>
  <si>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</si>
  <si>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</si>
  <si>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</si>
  <si>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</si>
  <si>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</si>
  <si>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</si>
  <si>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</si>
  <si>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</si>
  <si>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</si>
  <si>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</si>
  <si>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</si>
  <si>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</si>
  <si>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</si>
  <si>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</si>
  <si>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</si>
  <si>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</si>
  <si>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</si>
  <si>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</si>
  <si>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</si>
  <si>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</si>
  <si>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</si>
  <si>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</si>
  <si>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</si>
  <si>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</si>
  <si>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</si>
  <si>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</si>
  <si>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</si>
  <si>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</si>
  <si>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</si>
  <si>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</si>
  <si>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</si>
  <si>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</si>
  <si>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</si>
  <si>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</si>
  <si>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</si>
  <si>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</si>
  <si>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</si>
  <si>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</si>
  <si>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</si>
  <si>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</si>
  <si>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</si>
  <si>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</si>
  <si>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</si>
  <si>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</si>
  <si>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</si>
  <si>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</si>
  <si>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</si>
  <si>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</si>
  <si>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</si>
  <si>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</si>
  <si>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</si>
  <si>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</si>
  <si>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</si>
  <si>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</si>
  <si>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</si>
  <si>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</si>
  <si>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</si>
  <si>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</si>
  <si>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</si>
  <si>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</si>
  <si>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</si>
  <si>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</si>
  <si>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</si>
  <si>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</si>
  <si>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</si>
  <si>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</si>
  <si>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</si>
  <si>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</si>
  <si>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</si>
  <si>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</si>
  <si>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</si>
  <si>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</si>
  <si>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</si>
  <si>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</si>
  <si>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</si>
  <si>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</si>
  <si>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</si>
  <si>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</si>
  <si>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</si>
  <si>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</si>
  <si>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</si>
  <si>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</si>
  <si>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</si>
  <si>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</si>
  <si>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</si>
  <si>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</si>
  <si>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</si>
  <si>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</si>
  <si>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</si>
  <si>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</si>
  <si>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</si>
  <si>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</si>
  <si>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</si>
  <si>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</si>
  <si>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</si>
  <si>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</si>
  <si>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</si>
  <si>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</si>
  <si>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</si>
  <si>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</si>
  <si>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</si>
  <si>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</si>
  <si>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</si>
  <si>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</si>
  <si>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</si>
  <si>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</si>
  <si>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</si>
  <si>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</si>
  <si>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</si>
  <si>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</si>
  <si>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</si>
  <si>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</si>
  <si>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</si>
  <si>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</si>
  <si>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</si>
  <si>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</si>
  <si>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</si>
  <si>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</si>
  <si>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</si>
  <si>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</si>
  <si>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</si>
  <si>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</si>
  <si>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</si>
  <si>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</si>
  <si>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</si>
  <si>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</si>
  <si>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</si>
  <si>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</si>
  <si>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</si>
  <si>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</si>
  <si>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</si>
  <si>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</si>
  <si>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</si>
  <si>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</si>
  <si>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</si>
  <si>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</si>
  <si>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</si>
  <si>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</si>
  <si>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</si>
  <si>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</si>
  <si>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</si>
  <si>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</si>
  <si>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</si>
  <si>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</si>
  <si>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</si>
  <si>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</si>
  <si>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</si>
  <si>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</si>
  <si>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</si>
  <si>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</si>
  <si>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</si>
  <si>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</si>
  <si>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</si>
  <si>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</si>
  <si>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</si>
  <si>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</si>
  <si>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</si>
  <si>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</si>
  <si>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</si>
  <si>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</si>
  <si>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</si>
  <si>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</si>
  <si>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</si>
  <si>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</si>
  <si>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</si>
  <si>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</si>
  <si>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</si>
  <si>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</si>
  <si>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</si>
  <si>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</si>
  <si>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</si>
  <si>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</si>
  <si>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</si>
  <si>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</si>
  <si>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</si>
  <si>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</si>
  <si>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</si>
  <si>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</si>
  <si>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</si>
  <si>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</si>
  <si>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</si>
  <si>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</si>
  <si>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</si>
  <si>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</si>
  <si>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</si>
  <si>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</si>
  <si>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</si>
  <si>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</si>
  <si>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</si>
  <si>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</si>
  <si>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</si>
  <si>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</si>
  <si>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</si>
  <si>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</si>
  <si>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</si>
  <si>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</si>
  <si>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</si>
  <si>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</si>
  <si>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</si>
  <si>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</si>
  <si>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</si>
  <si>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</si>
  <si>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</si>
  <si>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</si>
  <si>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</si>
  <si>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</si>
  <si>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</si>
  <si>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</si>
  <si>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</si>
  <si>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</si>
  <si>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</si>
  <si>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</si>
  <si>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</si>
  <si>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</si>
  <si>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</si>
  <si>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</si>
  <si>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</si>
  <si>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</si>
  <si>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</si>
  <si>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</si>
  <si>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</si>
  <si>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</si>
  <si>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</si>
  <si>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</si>
  <si>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</si>
  <si>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</si>
  <si>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</si>
  <si>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</si>
  <si>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</si>
  <si>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</si>
  <si>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</si>
  <si>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</si>
  <si>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</si>
  <si>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</si>
  <si>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</si>
  <si>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</si>
  <si>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</si>
  <si>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</si>
  <si>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</si>
  <si>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</si>
  <si>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</si>
  <si>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</si>
  <si>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</si>
  <si>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</si>
  <si>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</si>
  <si>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</si>
  <si>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</si>
  <si>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</si>
  <si>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</si>
  <si>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</si>
  <si>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</si>
  <si>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</si>
  <si>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</si>
  <si>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</si>
  <si>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</si>
  <si>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</si>
  <si>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</si>
  <si>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</si>
  <si>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</si>
  <si>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</si>
  <si>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</si>
  <si>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</si>
  <si>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</si>
  <si>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</si>
  <si>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</si>
  <si>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</si>
  <si>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</si>
  <si>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</si>
  <si>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</si>
  <si>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</si>
  <si>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</si>
  <si>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</si>
  <si>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</si>
  <si>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</si>
  <si>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</si>
  <si>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</si>
  <si>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</si>
  <si>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</si>
  <si>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</si>
  <si>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</si>
  <si>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</si>
  <si>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</si>
  <si>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</si>
  <si>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</si>
  <si>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</si>
  <si>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</si>
  <si>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</si>
  <si>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</si>
  <si>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</si>
  <si>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</si>
  <si>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</si>
  <si>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</si>
  <si>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</si>
  <si>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</si>
  <si>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</si>
  <si>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</si>
  <si>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</si>
  <si>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</si>
  <si>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</si>
  <si>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</si>
  <si>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</si>
  <si>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</si>
  <si>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</si>
  <si>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</si>
  <si>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</si>
  <si>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</si>
  <si>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</si>
  <si>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</si>
  <si>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</si>
  <si>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</si>
  <si>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</si>
  <si>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</si>
  <si>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</si>
  <si>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</si>
  <si>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</si>
  <si>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</si>
  <si>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</si>
  <si>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</si>
  <si>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</si>
  <si>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</si>
  <si>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</si>
  <si>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</si>
  <si>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</si>
  <si>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</si>
  <si>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</si>
  <si>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</si>
  <si>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</si>
  <si>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</si>
  <si>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</si>
  <si>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</si>
  <si>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</si>
  <si>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</si>
  <si>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</si>
  <si>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</si>
  <si>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</si>
  <si>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</si>
  <si>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</si>
  <si>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</si>
  <si>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</si>
  <si>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</si>
  <si>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</si>
  <si>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</si>
  <si>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</si>
  <si>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</si>
  <si>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</si>
  <si>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</si>
  <si>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</si>
  <si>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</si>
  <si>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</si>
  <si>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</si>
  <si>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</si>
  <si>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</si>
  <si>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</si>
  <si>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</si>
  <si>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</si>
  <si>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</si>
  <si>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</si>
  <si>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</si>
  <si>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</si>
  <si>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</si>
  <si>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</si>
  <si>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</si>
  <si>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</si>
  <si>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</si>
  <si>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</si>
  <si>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</si>
  <si>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</si>
  <si>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</si>
  <si>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</si>
  <si>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</si>
  <si>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</si>
  <si>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</si>
  <si>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</si>
  <si>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</si>
  <si>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</si>
  <si>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</si>
  <si>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</si>
  <si>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</si>
  <si>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</si>
  <si>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</si>
  <si>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</si>
  <si>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</si>
  <si>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</si>
  <si>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</si>
  <si>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</si>
  <si>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</si>
  <si>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</si>
  <si>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</si>
  <si>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</si>
  <si>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</si>
  <si>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</si>
  <si>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</si>
  <si>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</si>
  <si>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</si>
  <si>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</si>
  <si>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</si>
  <si>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</si>
  <si>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</si>
  <si>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</si>
  <si>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</si>
  <si>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</si>
  <si>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</si>
  <si>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</si>
  <si>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</si>
  <si>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</si>
  <si>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</si>
  <si>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</si>
  <si>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</si>
  <si>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</si>
  <si>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</si>
  <si>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</si>
  <si>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</si>
  <si>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</si>
  <si>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</si>
  <si>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</si>
  <si>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</si>
  <si>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</si>
  <si>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</si>
  <si>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</si>
  <si>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</si>
  <si>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</si>
  <si>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</si>
  <si>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</si>
  <si>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</si>
  <si>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</si>
  <si>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</si>
  <si>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</si>
  <si>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</si>
  <si>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</si>
  <si>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</si>
  <si>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</si>
  <si>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</si>
  <si>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</si>
  <si>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</si>
  <si>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</si>
  <si>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</si>
  <si>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</si>
  <si>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</si>
  <si>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</si>
  <si>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</si>
  <si>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</si>
  <si>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</si>
  <si>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</si>
  <si>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</si>
  <si>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</si>
  <si>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</si>
  <si>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</si>
  <si>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</si>
  <si>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</si>
  <si>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</si>
  <si>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</si>
  <si>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</si>
  <si>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</si>
  <si>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</si>
  <si>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</si>
  <si>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</si>
  <si>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</si>
  <si>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</si>
  <si>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</si>
  <si>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</si>
  <si>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</si>
  <si>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</si>
  <si>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</si>
  <si>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</si>
  <si>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</si>
  <si>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</si>
  <si>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</si>
  <si>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</si>
  <si>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</si>
  <si>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</si>
  <si>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</si>
  <si>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</si>
  <si>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</si>
  <si>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</si>
  <si>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</si>
  <si>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</si>
  <si>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</si>
  <si>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</si>
  <si>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</si>
  <si>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</si>
  <si>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</si>
  <si>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</si>
  <si>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</si>
  <si>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</si>
  <si>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</si>
  <si>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</si>
  <si>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</si>
  <si>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</si>
  <si>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</si>
  <si>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</si>
  <si>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</si>
  <si>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</si>
  <si>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</si>
  <si>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</si>
  <si>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</si>
  <si>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</si>
  <si>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</si>
  <si>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</si>
  <si>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</si>
  <si>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</si>
  <si>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</si>
  <si>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</si>
  <si>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</si>
  <si>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</si>
  <si>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</si>
  <si>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</si>
  <si>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</si>
  <si>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</si>
  <si>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</si>
  <si>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</si>
  <si>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</si>
  <si>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</si>
  <si>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</si>
  <si>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</si>
  <si>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</si>
  <si>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</si>
  <si>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</si>
  <si>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</si>
  <si>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</si>
  <si>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</si>
  <si>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</si>
  <si>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</si>
  <si>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</si>
  <si>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</si>
  <si>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</si>
  <si>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</si>
  <si>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</si>
  <si>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</si>
  <si>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</si>
  <si>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</si>
  <si>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</si>
  <si>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</si>
  <si>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</si>
  <si>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</si>
  <si>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</si>
  <si>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</si>
  <si>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</si>
  <si>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</si>
  <si>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</si>
  <si>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</si>
  <si>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</si>
  <si>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</si>
  <si>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</si>
  <si>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</si>
  <si>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</si>
  <si>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</si>
  <si>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</si>
  <si>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</si>
  <si>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</si>
  <si>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</si>
  <si>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</si>
  <si>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</si>
  <si>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</si>
  <si>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</si>
  <si>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</si>
  <si>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</si>
  <si>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</si>
  <si>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</si>
  <si>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</si>
  <si>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</si>
  <si>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</si>
  <si>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</si>
  <si>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</si>
  <si>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</si>
  <si>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</si>
  <si>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</si>
  <si>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</si>
  <si>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</si>
  <si>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</si>
  <si>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</si>
  <si>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</si>
  <si>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</si>
  <si>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</si>
  <si>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</si>
  <si>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</si>
  <si>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</si>
  <si>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</si>
  <si>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</si>
  <si>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</si>
  <si>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</si>
  <si>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</si>
  <si>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</si>
  <si>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</si>
  <si>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</si>
  <si>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</si>
  <si>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</si>
  <si>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</si>
  <si>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</si>
  <si>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</si>
  <si>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</si>
  <si>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</si>
  <si>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</si>
  <si>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</si>
  <si>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</si>
  <si>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</si>
  <si>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</si>
  <si>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</si>
  <si>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</si>
  <si>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</si>
  <si>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</si>
  <si>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</si>
  <si>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</si>
  <si>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</si>
  <si>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</si>
  <si>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</si>
  <si>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</si>
  <si>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</si>
  <si>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</si>
  <si>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</si>
  <si>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</si>
  <si>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</si>
  <si>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</si>
  <si>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</si>
  <si>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</si>
  <si>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</si>
  <si>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</si>
  <si>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</si>
  <si>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</si>
  <si>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</si>
  <si>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</si>
  <si>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</si>
  <si>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</si>
  <si>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</si>
  <si>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</si>
  <si>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</si>
  <si>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</si>
  <si>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</si>
  <si>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</si>
  <si>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</si>
  <si>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</si>
  <si>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</si>
  <si>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</si>
  <si>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</si>
  <si>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</si>
  <si>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</si>
  <si>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</si>
  <si>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</si>
  <si>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</si>
  <si>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</si>
  <si>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</si>
  <si>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</si>
  <si>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</si>
  <si>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</si>
  <si>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</si>
  <si>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</si>
  <si>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</si>
  <si>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</si>
  <si>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</si>
  <si>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</si>
  <si>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</si>
  <si>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</si>
  <si>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</si>
  <si>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</si>
  <si>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</si>
  <si>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</si>
  <si>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</si>
  <si>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</si>
  <si>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</si>
  <si>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</si>
  <si>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</si>
  <si>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</si>
  <si>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</si>
  <si>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</si>
  <si>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</si>
  <si>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</si>
  <si>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</si>
  <si>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</si>
  <si>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</si>
  <si>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</si>
  <si>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</si>
  <si>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</si>
  <si>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</si>
  <si>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</si>
  <si>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</si>
  <si>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</si>
  <si>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</si>
  <si>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</si>
  <si>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</si>
  <si>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</si>
  <si>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</si>
  <si>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</si>
  <si>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</si>
  <si>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</si>
  <si>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</si>
  <si>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</si>
  <si>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</si>
  <si>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</si>
  <si>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</si>
  <si>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</si>
  <si>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</si>
  <si>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</si>
  <si>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</si>
  <si>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</si>
  <si>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</si>
  <si>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</si>
  <si>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</si>
  <si>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</si>
  <si>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</si>
  <si>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</si>
  <si>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</si>
  <si>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</si>
  <si>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</si>
  <si>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</si>
  <si>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</si>
  <si>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</si>
  <si>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</si>
  <si>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</si>
  <si>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</si>
  <si>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</si>
  <si>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</si>
  <si>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</si>
  <si>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</si>
  <si>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</si>
  <si>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</si>
  <si>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</si>
  <si>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</si>
  <si>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</si>
  <si>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</si>
  <si>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</si>
  <si>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</si>
  <si>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</si>
  <si>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</si>
  <si>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</si>
  <si>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</si>
  <si>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</si>
  <si>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</si>
  <si>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</si>
  <si>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</si>
  <si>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</si>
  <si>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</si>
  <si>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</si>
  <si>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</si>
  <si>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</si>
  <si>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</si>
  <si>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</si>
  <si>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</si>
  <si>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</si>
  <si>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</si>
  <si>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</si>
  <si>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</si>
  <si>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</si>
  <si>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</si>
  <si>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</si>
  <si>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</si>
  <si>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</si>
  <si>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</si>
  <si>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</si>
  <si>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</si>
  <si>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</si>
  <si>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</si>
  <si>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</si>
  <si>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</si>
  <si>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</si>
  <si>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</si>
  <si>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</si>
  <si>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</si>
  <si>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</si>
  <si>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</si>
  <si>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</si>
  <si>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</si>
  <si>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</si>
  <si>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</si>
  <si>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</si>
  <si>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</si>
  <si>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</si>
  <si>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</si>
  <si>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</si>
  <si>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</si>
  <si>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</si>
  <si>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</si>
  <si>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</si>
  <si>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</si>
  <si>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</si>
  <si>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</si>
  <si>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</si>
  <si>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</si>
  <si>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</si>
  <si>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</si>
  <si>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</si>
  <si>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</si>
  <si>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</si>
  <si>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</si>
  <si>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</si>
  <si>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</si>
  <si>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</si>
  <si>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</si>
  <si>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</si>
  <si>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</si>
  <si>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</si>
  <si>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</si>
  <si>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</si>
  <si>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</si>
  <si>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</si>
  <si>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</si>
  <si>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</si>
  <si>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</si>
  <si>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</si>
  <si>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</si>
  <si>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</si>
  <si>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</si>
  <si>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</si>
  <si>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</si>
  <si>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</si>
  <si>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</si>
  <si>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</si>
  <si>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</si>
  <si>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</si>
  <si>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</si>
  <si>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</si>
  <si>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</si>
  <si>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</si>
  <si>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</si>
  <si>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</si>
  <si>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</si>
  <si>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</si>
  <si>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</si>
  <si>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</si>
  <si>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</si>
  <si>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</si>
  <si>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</si>
  <si>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</si>
  <si>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</si>
  <si>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</si>
  <si>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</si>
  <si>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</si>
  <si>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</si>
  <si>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</si>
  <si>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</si>
  <si>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</si>
  <si>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</si>
  <si>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</si>
  <si>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</si>
  <si>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</si>
  <si>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</si>
  <si>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</si>
  <si>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</si>
  <si>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</si>
  <si>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</si>
  <si>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</si>
  <si>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</si>
  <si>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</si>
  <si>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</si>
  <si>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</si>
  <si>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</si>
  <si>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</si>
  <si>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</si>
  <si>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</si>
  <si>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</si>
  <si>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</si>
  <si>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</si>
  <si>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</si>
  <si>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</si>
  <si>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</si>
  <si>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</si>
  <si>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</si>
  <si>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</si>
  <si>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</si>
  <si>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</si>
  <si>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</si>
  <si>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</si>
  <si>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</si>
  <si>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</si>
  <si>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</si>
  <si>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</si>
  <si>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</si>
  <si>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</si>
  <si>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</si>
  <si>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</si>
  <si>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</si>
  <si>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</si>
  <si>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</si>
  <si>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</si>
  <si>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</si>
  <si>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</si>
  <si>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</si>
  <si>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</si>
  <si>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</si>
  <si>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</si>
  <si>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</si>
  <si>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</si>
  <si>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</si>
  <si>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</si>
  <si>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</si>
  <si>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</si>
  <si>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</si>
  <si>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</si>
  <si>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</si>
  <si>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</si>
  <si>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</si>
  <si>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</si>
  <si>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</si>
  <si>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</si>
  <si>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</si>
  <si>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</si>
  <si>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</si>
  <si>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</si>
  <si>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</si>
  <si>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</si>
  <si>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</si>
  <si>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</si>
  <si>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</si>
  <si>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</si>
  <si>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</si>
  <si>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</si>
  <si>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</si>
  <si>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</si>
  <si>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</si>
  <si>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</si>
  <si>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</si>
  <si>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</si>
  <si>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</si>
  <si>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</si>
  <si>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</si>
  <si>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</si>
  <si>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</si>
  <si>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</si>
  <si>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</si>
  <si>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</si>
  <si>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</si>
  <si>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</si>
  <si>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</si>
  <si>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</si>
  <si>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</si>
  <si>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</si>
  <si>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</si>
  <si>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</si>
  <si>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</si>
  <si>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</si>
  <si>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</si>
  <si>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</si>
  <si>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</si>
  <si>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</si>
  <si>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</si>
  <si>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</si>
  <si>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</si>
  <si>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</si>
  <si>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</si>
  <si>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</si>
  <si>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</si>
  <si>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</si>
  <si>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</si>
  <si>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</si>
  <si>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</si>
  <si>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</si>
  <si>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</si>
  <si>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</si>
  <si>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</si>
  <si>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</si>
  <si>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</si>
  <si>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</si>
  <si>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</si>
  <si>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</si>
  <si>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</si>
  <si>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</si>
  <si>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</si>
  <si>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</si>
  <si>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</si>
  <si>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</si>
  <si>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</si>
  <si>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</si>
  <si>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</si>
  <si>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</si>
  <si>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</si>
  <si>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</si>
  <si>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</si>
  <si>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</si>
  <si>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</si>
  <si>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</si>
  <si>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</si>
  <si>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</si>
  <si>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</si>
  <si>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</si>
  <si>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</si>
  <si>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</si>
  <si>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</si>
  <si>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</si>
  <si>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</si>
  <si>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</si>
  <si>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</si>
  <si>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</si>
  <si>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</si>
  <si>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</si>
  <si>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</si>
  <si>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</si>
  <si>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</si>
  <si>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</si>
  <si>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</si>
  <si>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</si>
  <si>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</si>
  <si>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</si>
  <si>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</si>
  <si>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</si>
  <si>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</si>
  <si>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</si>
  <si>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</si>
  <si>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</si>
  <si>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</si>
  <si>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</si>
  <si>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</si>
  <si>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</si>
  <si>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</si>
  <si>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</si>
  <si>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</si>
  <si>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</si>
  <si>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</si>
  <si>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</si>
  <si>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</si>
  <si>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</si>
  <si>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</si>
  <si>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</si>
  <si>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</si>
  <si>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</si>
  <si>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</si>
  <si>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</si>
  <si>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</si>
  <si>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</si>
  <si>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</si>
  <si>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</si>
  <si>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</si>
  <si>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</si>
  <si>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</si>
  <si>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</si>
  <si>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</si>
  <si>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</si>
  <si>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</si>
  <si>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</si>
  <si>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</si>
  <si>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</si>
  <si>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</si>
  <si>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</si>
  <si>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</si>
  <si>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</si>
  <si>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</si>
  <si>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</si>
  <si>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</si>
  <si>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</si>
  <si>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</si>
  <si>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</si>
  <si>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</si>
  <si>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</si>
  <si>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</si>
  <si>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</si>
  <si>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</si>
  <si>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</si>
  <si>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</si>
  <si>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</si>
  <si>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</si>
  <si>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</si>
  <si>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</si>
  <si>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</si>
  <si>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</si>
  <si>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</si>
  <si>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</si>
  <si>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</si>
  <si>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</si>
  <si>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</si>
  <si>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</si>
  <si>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</si>
  <si>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</si>
  <si>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</si>
  <si>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</si>
  <si>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</si>
  <si>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</si>
  <si>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</si>
  <si>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</si>
  <si>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</si>
  <si>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</si>
  <si>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</si>
  <si>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</si>
  <si>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</si>
  <si>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</si>
  <si>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</si>
  <si>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</si>
  <si>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</si>
  <si>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</si>
  <si>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</si>
  <si>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</si>
  <si>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</si>
  <si>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</si>
  <si>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</si>
  <si>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</si>
  <si>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</si>
  <si>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</si>
  <si>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</si>
  <si>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</si>
  <si>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</si>
  <si>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</si>
  <si>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</si>
  <si>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</si>
  <si>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</si>
  <si>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</si>
  <si>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</si>
  <si>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</si>
  <si>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</si>
  <si>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</si>
  <si>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</si>
  <si>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</si>
  <si>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</si>
  <si>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</si>
  <si>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</si>
  <si>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</si>
  <si>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</si>
  <si>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</si>
  <si>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</si>
  <si>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</si>
  <si>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</si>
  <si>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</si>
  <si>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</si>
  <si>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</si>
  <si>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</si>
  <si>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</si>
  <si>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</si>
  <si>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</si>
  <si>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</si>
  <si>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</si>
  <si>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</si>
  <si>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</si>
  <si>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</si>
  <si>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</si>
  <si>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</si>
  <si>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</si>
  <si>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</si>
  <si>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</si>
  <si>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</si>
  <si>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</si>
  <si>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</si>
  <si>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</si>
  <si>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</si>
  <si>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</si>
  <si>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</si>
  <si>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</si>
  <si>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</si>
  <si>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</si>
  <si>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</si>
  <si>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</si>
  <si>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</si>
  <si>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</si>
  <si>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</si>
  <si>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</si>
  <si>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</si>
  <si>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</si>
  <si>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</si>
  <si>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</si>
  <si>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</si>
  <si>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</si>
  <si>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</si>
  <si>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</si>
  <si>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</si>
  <si>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</si>
  <si>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</si>
  <si>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</si>
  <si>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</si>
  <si>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</si>
  <si>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</si>
  <si>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</si>
  <si>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</si>
  <si>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</si>
  <si>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</si>
  <si>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</si>
  <si>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</si>
  <si>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</si>
  <si>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</si>
  <si>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</si>
  <si>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</si>
  <si>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</si>
  <si>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</si>
  <si>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</si>
  <si>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</si>
  <si>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</si>
  <si>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</si>
  <si>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</si>
  <si>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</si>
  <si>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</si>
  <si>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</si>
  <si>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</si>
  <si>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</si>
  <si>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</si>
  <si>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</si>
  <si>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</si>
  <si>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</si>
  <si>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</si>
  <si>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</si>
  <si>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</si>
  <si>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</si>
  <si>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</si>
  <si>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</si>
  <si>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</si>
  <si>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</si>
  <si>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</si>
  <si>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</si>
  <si>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</si>
  <si>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</si>
  <si>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</si>
  <si>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</si>
  <si>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</si>
  <si>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</si>
  <si>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</si>
  <si>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</si>
  <si>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</si>
  <si>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</si>
  <si>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</si>
  <si>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</si>
  <si>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</si>
  <si>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</si>
  <si>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</si>
  <si>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</si>
  <si>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</si>
  <si>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</si>
  <si>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</si>
  <si>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</si>
  <si>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</si>
  <si>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</si>
  <si>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</si>
  <si>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</si>
  <si>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</si>
  <si>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</si>
  <si>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</si>
  <si>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</si>
  <si>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</si>
  <si>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</si>
  <si>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</si>
  <si>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</si>
  <si>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</si>
  <si>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</si>
  <si>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</si>
  <si>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</si>
  <si>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</si>
  <si>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</si>
  <si>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</si>
  <si>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</si>
  <si>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</si>
  <si>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</si>
  <si>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</si>
  <si>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</si>
  <si>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</si>
  <si>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</si>
  <si>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</si>
  <si>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</si>
  <si>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</si>
  <si>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</si>
  <si>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</si>
  <si>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</si>
  <si>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</si>
  <si>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</si>
  <si>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</si>
  <si>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</si>
  <si>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</si>
  <si>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</si>
  <si>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</si>
  <si>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</si>
  <si>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</si>
  <si>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</si>
  <si>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</si>
  <si>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</si>
  <si>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</si>
  <si>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</si>
  <si>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</si>
  <si>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</si>
  <si>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</si>
  <si>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</si>
  <si>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</si>
  <si>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</si>
  <si>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</si>
  <si>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</si>
  <si>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</si>
  <si>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</si>
  <si>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</si>
  <si>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</si>
  <si>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</si>
  <si>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</si>
  <si>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</si>
  <si>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</si>
  <si>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</si>
  <si>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</si>
  <si>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</si>
  <si>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</si>
  <si>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</si>
  <si>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</si>
  <si>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</si>
  <si>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</si>
  <si>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</si>
  <si>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</si>
  <si>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</si>
  <si>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</si>
  <si>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</si>
  <si>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</si>
  <si>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</si>
  <si>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</si>
  <si>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</si>
  <si>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</si>
  <si>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</si>
  <si>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</si>
  <si>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</si>
  <si>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</si>
  <si>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</si>
  <si>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</si>
  <si>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</si>
  <si>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</si>
  <si>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</si>
  <si>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</si>
  <si>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</si>
  <si>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</si>
  <si>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</si>
  <si>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</si>
  <si>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</si>
  <si>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</si>
  <si>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</si>
  <si>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</si>
  <si>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</si>
  <si>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</si>
  <si>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</si>
  <si>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</si>
  <si>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</si>
  <si>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</si>
  <si>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</si>
  <si>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</si>
  <si>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</si>
  <si>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</si>
  <si>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</si>
  <si>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</si>
  <si>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</si>
  <si>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</si>
  <si>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</si>
  <si>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</si>
  <si>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</si>
  <si>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</si>
  <si>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</si>
  <si>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</si>
  <si>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</si>
  <si>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</si>
  <si>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</si>
  <si>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</si>
  <si>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</si>
  <si>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</si>
  <si>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</si>
  <si>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</si>
  <si>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</si>
  <si>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</si>
  <si>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</si>
  <si>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</si>
  <si>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</si>
  <si>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</si>
  <si>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</si>
  <si>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</si>
  <si>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</si>
  <si>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</si>
  <si>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</si>
  <si>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</si>
  <si>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</si>
  <si>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</si>
  <si>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</si>
  <si>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</si>
  <si>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</si>
  <si>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</si>
  <si>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</si>
  <si>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</si>
  <si>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</si>
  <si>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</si>
  <si>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</si>
  <si>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</si>
  <si>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</si>
  <si>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</si>
  <si>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</si>
  <si>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</si>
  <si>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</si>
  <si>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</si>
  <si>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</si>
  <si>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</si>
  <si>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</si>
  <si>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</si>
  <si>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</si>
  <si>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</si>
  <si>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</si>
  <si>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</si>
  <si>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</si>
  <si>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</si>
  <si>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</si>
  <si>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</si>
  <si>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</si>
  <si>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</si>
  <si>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</si>
  <si>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</si>
  <si>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</si>
  <si>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</si>
  <si>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</si>
  <si>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</si>
  <si>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</si>
  <si>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</si>
  <si>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</si>
  <si>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</si>
  <si>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</si>
  <si>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</si>
  <si>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</si>
  <si>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</si>
  <si>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</si>
  <si>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</si>
  <si>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</si>
  <si>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</si>
  <si>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</si>
  <si>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</si>
  <si>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</si>
  <si>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</si>
  <si>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</si>
  <si>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</si>
  <si>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</si>
  <si>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</si>
  <si>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</si>
  <si>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</si>
  <si>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</si>
  <si>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</si>
  <si>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</si>
  <si>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</si>
  <si>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</si>
  <si>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</si>
  <si>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</si>
  <si>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</si>
  <si>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</si>
  <si>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</si>
  <si>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</si>
  <si>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</si>
  <si>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</si>
  <si>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</si>
  <si>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</si>
  <si>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</si>
  <si>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</si>
  <si>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</si>
  <si>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</si>
  <si>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</si>
  <si>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</si>
  <si>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</si>
  <si>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</si>
  <si>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</si>
  <si>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</si>
  <si>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</si>
  <si>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</si>
  <si>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</si>
  <si>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</si>
  <si>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</si>
  <si>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</si>
  <si>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</si>
  <si>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</si>
  <si>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</si>
  <si>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</si>
  <si>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</si>
  <si>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</si>
  <si>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</si>
  <si>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</si>
  <si>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</si>
  <si>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</si>
  <si>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</si>
  <si>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</si>
  <si>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</si>
  <si>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</si>
  <si>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</si>
  <si>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Unknown</t>
  </si>
  <si>
    <t>shipping_delay_days</t>
  </si>
  <si>
    <t>cleaned_discount</t>
  </si>
  <si>
    <t xml:space="preserve">calculated_sales	</t>
  </si>
  <si>
    <t>calculated_profit</t>
  </si>
  <si>
    <t>profit_margin</t>
  </si>
  <si>
    <t>order_month</t>
  </si>
  <si>
    <t>order_year</t>
  </si>
  <si>
    <t>data_quality_flag</t>
  </si>
  <si>
    <t>Row Labels</t>
  </si>
  <si>
    <t>Grand Total</t>
  </si>
  <si>
    <t>Sum of profit</t>
  </si>
  <si>
    <t>Sum of sales</t>
  </si>
  <si>
    <t>Count of order_date</t>
  </si>
  <si>
    <t>Average of profit_margin</t>
  </si>
  <si>
    <t>July</t>
  </si>
  <si>
    <t>June</t>
  </si>
  <si>
    <t>April</t>
  </si>
  <si>
    <t>December</t>
  </si>
  <si>
    <t>May</t>
  </si>
  <si>
    <t>January</t>
  </si>
  <si>
    <t>March</t>
  </si>
  <si>
    <t>February</t>
  </si>
  <si>
    <t>August</t>
  </si>
  <si>
    <t>September</t>
  </si>
  <si>
    <t>November</t>
  </si>
  <si>
    <t>October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</si>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</sst>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 applyAlignment="1">
      <alignment horizontal="right"/>
    </xf>
    <xf numFmtId="0" fontId="0" fillId="3" borderId="0" xfId="0" applyFill="1"/>
    <xf numFmtId="1" fontId="0" fillId="3" borderId="0" xfId="0" applyNumberFormat="1" applyFill="1" applyAlignment="1">
      <alignment horizontal="right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and Kadam" refreshedDate="46197.681297916664" createdVersion="8" refreshedVersion="8" minRefreshableVersion="3" recordCount="912" xr:uid="{786CBB7C-E6E8-4003-ACD7-28F0C3607D5D}">
  <cacheSource type="worksheet">
    <worksheetSource ref="A1:AC913" sheet="cleaned_orders"/>
  </cacheSource>
  <cacheFields count="29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08T00:00:00"/>
    </cacheField>
    <cacheField name="shipping_delay_days" numFmtId="1">
      <sharedItems containsSemiMixedTypes="0" containsString="0" containsNumber="1" containsInteger="1" minValue="-320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leaned_discount" numFmtId="10">
      <sharedItems containsSemiMixedTypes="0" containsString="0" containsNumber="1" minValue="-0.24" maxValue="0.85"/>
    </cacheField>
    <cacheField name="calculated_sales_x0009_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10">
      <sharedItems containsSemiMixedTypes="0" containsString="0" containsNumber="1" minValue="-4.5764791949555343" maxValue="0.63731759836591895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December"/>
        <s v="October"/>
        <s v="January"/>
        <s v="March"/>
        <s v="September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n v="6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s v="Paid"/>
    <x v="0"/>
    <n v="0.2"/>
    <n v="19049.28"/>
    <n v="3207.3899999999994"/>
    <n v="0.16837329284886357"/>
    <x v="0"/>
    <x v="0"/>
    <s v="Clean"/>
  </r>
  <r>
    <s v="ORD-2024-10002"/>
    <d v="2024-08-31T00:00:00"/>
    <d v="2024-09-05T00:00:00"/>
    <n v="5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s v="Paid"/>
    <x v="0"/>
    <n v="0"/>
    <n v="7312.5"/>
    <n v="2407.7700000000004"/>
    <n v="0.32926769230769237"/>
    <x v="1"/>
    <x v="0"/>
    <s v="Clean"/>
  </r>
  <r>
    <s v="ORD-2024-10003"/>
    <d v="2024-06-08T00:00:00"/>
    <d v="2024-06-15T00:00:00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s v="Paid"/>
    <x v="0"/>
    <n v="0.55000000000000004"/>
    <n v="1917.7739999999999"/>
    <n v="-547.91600000000017"/>
    <n v="-0.28570415492127865"/>
    <x v="2"/>
    <x v="0"/>
    <s v="Clean"/>
  </r>
  <r>
    <s v="ORD-2024-10004"/>
    <d v="2024-11-28T00:00:00"/>
    <d v="2024-11-29T00:00:00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s v="Paid"/>
    <x v="0"/>
    <n v="0.25"/>
    <n v="8317.9349999999995"/>
    <n v="1521.1649999999991"/>
    <n v="0.18287772145370204"/>
    <x v="3"/>
    <x v="0"/>
    <s v="Clean"/>
  </r>
  <r>
    <s v="ORD-2025-10005"/>
    <d v="2025-08-29T00:00:00"/>
    <d v="2025-09-01T00:00:00"/>
    <n v="3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s v="Paid"/>
    <x v="1"/>
    <n v="0"/>
    <n v="20816.32"/>
    <n v="3110.9500000000007"/>
    <n v="0.14944764492475138"/>
    <x v="1"/>
    <x v="1"/>
    <s v="Clean"/>
  </r>
  <r>
    <s v="ORD-2024-10006"/>
    <d v="2024-05-24T00:00:00"/>
    <d v="2024-05-28T00:00:00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s v="Paid"/>
    <x v="0"/>
    <n v="0.2"/>
    <n v="2527.4639999999999"/>
    <n v="993.88400000000001"/>
    <n v="0.39323369195367375"/>
    <x v="4"/>
    <x v="0"/>
    <s v="Clean"/>
  </r>
  <r>
    <s v="ORD-2025-10007"/>
    <d v="2025-04-10T00:00:00"/>
    <d v="2025-04-16T00:00:00"/>
    <n v="6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x v="0"/>
    <n v="0.15"/>
    <n v="5847.5579999999991"/>
    <n v="1120.3079999999991"/>
    <n v="0.19158561573908275"/>
    <x v="5"/>
    <x v="1"/>
    <s v="Clean"/>
  </r>
  <r>
    <s v="ORD-2025-10008"/>
    <d v="2025-02-23T00:00:00"/>
    <d v="2025-02-26T00:00:00"/>
    <n v="3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s v="Paid"/>
    <x v="0"/>
    <n v="0"/>
    <n v="2980.71"/>
    <n v="623.49000000000024"/>
    <n v="0.20917499521925992"/>
    <x v="6"/>
    <x v="1"/>
    <s v="Clean"/>
  </r>
  <r>
    <s v="ORD-2024-10009"/>
    <d v="2024-11-05T00:00:00"/>
    <d v="2024-11-10T00:00:00"/>
    <n v="5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s v="Paid"/>
    <x v="0"/>
    <n v="0"/>
    <n v="25073.599999999999"/>
    <n v="7726.369999999999"/>
    <n v="0.30814761342607361"/>
    <x v="3"/>
    <x v="0"/>
    <s v="Clean"/>
  </r>
  <r>
    <s v="ORD-2025-10010"/>
    <d v="2025-07-09T00:00:00"/>
    <d v="2025-09-12T00:00:00"/>
    <n v="65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s v="Paid"/>
    <x v="0"/>
    <n v="0.2"/>
    <n v="6134.6880000000001"/>
    <n v="2334.498"/>
    <n v="0.38054062407085737"/>
    <x v="0"/>
    <x v="1"/>
    <s v="Clean"/>
  </r>
  <r>
    <s v="ORD-2025-10011"/>
    <d v="2025-05-20T00:00:00"/>
    <d v="2025-05-20T00:00:00"/>
    <n v="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s v="Refunded"/>
    <x v="2"/>
    <n v="0.05"/>
    <n v="10074.2655"/>
    <n v="4025.9954999999991"/>
    <n v="0.39963166545491574"/>
    <x v="4"/>
    <x v="1"/>
    <s v="Clean"/>
  </r>
  <r>
    <s v="ORD-2024-10012"/>
    <d v="2024-07-22T00:00:00"/>
    <d v="2024-07-23T00:00:00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s v="Paid"/>
    <x v="0"/>
    <n v="0.2"/>
    <n v="9628.5600000000013"/>
    <n v="1589.9700000000012"/>
    <n v="0.16513061143099289"/>
    <x v="0"/>
    <x v="0"/>
    <s v="Clean"/>
  </r>
  <r>
    <s v="ORD-2024-10013"/>
    <d v="2024-12-20T00:00:00"/>
    <d v="2024-12-21T00:00:00"/>
    <n v="1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s v="Pending"/>
    <x v="2"/>
    <n v="0.15"/>
    <n v="596.81899999999996"/>
    <n v="216.56899999999996"/>
    <n v="0.36287216057129545"/>
    <x v="7"/>
    <x v="0"/>
    <s v="Clean"/>
  </r>
  <r>
    <s v="ORD-2025-10014"/>
    <d v="2025-10-12T00:00:00"/>
    <d v="2025-10-16T00:00:00"/>
    <n v="4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s v="Paid"/>
    <x v="0"/>
    <n v="0.05"/>
    <n v="26365.387999999995"/>
    <n v="4059.1479999999938"/>
    <n v="0.15395745361304733"/>
    <x v="8"/>
    <x v="1"/>
    <s v="Clean"/>
  </r>
  <r>
    <s v="ORD-2024-10015"/>
    <d v="2024-12-27T00:00:00"/>
    <d v="2024-12-28T00:00:00"/>
    <n v="1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s v="Paid"/>
    <x v="0"/>
    <n v="0.25"/>
    <n v="4106.7449999999999"/>
    <n v="1440.4449999999997"/>
    <n v="0.35075102057712365"/>
    <x v="7"/>
    <x v="0"/>
    <s v="Clean"/>
  </r>
  <r>
    <s v="ORD-2024-10016"/>
    <d v="2024-07-09T00:00:00"/>
    <d v="2024-07-09T00:00:00"/>
    <n v="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s v="Paid"/>
    <x v="0"/>
    <n v="0"/>
    <n v="23794.560000000001"/>
    <n v="8096.090000000002"/>
    <n v="0.34024962008122872"/>
    <x v="0"/>
    <x v="0"/>
    <s v="Clean"/>
  </r>
  <r>
    <s v="ORD-2024-10017"/>
    <d v="2024-05-08T00:00:00"/>
    <d v="2024-05-15T00:00:00"/>
    <n v="7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x v="0"/>
    <n v="0.25"/>
    <n v="9970.5300000000007"/>
    <n v="4302.3600000000006"/>
    <n v="0.43150765305354882"/>
    <x v="4"/>
    <x v="0"/>
    <s v="Clean"/>
  </r>
  <r>
    <s v="ORD-2024-10018"/>
    <d v="2024-01-07T00:00:00"/>
    <d v="2024-01-08T00:00:00"/>
    <n v="1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s v="Paid"/>
    <x v="0"/>
    <n v="0"/>
    <n v="7633.9"/>
    <n v="2926.99"/>
    <n v="0.38342000812166782"/>
    <x v="9"/>
    <x v="0"/>
    <s v="Clean"/>
  </r>
  <r>
    <s v="ORD-2025-10019"/>
    <d v="2025-07-15T00:00:00"/>
    <d v="2025-07-17T00:00:00"/>
    <n v="2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s v="Refunded"/>
    <x v="1"/>
    <n v="0"/>
    <n v="3995.98"/>
    <n v="1362.7800000000002"/>
    <n v="0.34103774293164635"/>
    <x v="0"/>
    <x v="1"/>
    <s v="Clean"/>
  </r>
  <r>
    <s v="ORD-2024-10020"/>
    <d v="2024-07-27T00:00:00"/>
    <d v="2024-07-31T00:00:00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s v="Paid"/>
    <x v="0"/>
    <n v="-0.19"/>
    <n v="13879.9458"/>
    <n v="6350.6357999999991"/>
    <n v="0.45754038895454474"/>
    <x v="0"/>
    <x v="0"/>
    <s v="Invalid"/>
  </r>
  <r>
    <s v="ORD-2025-10021"/>
    <d v="2025-01-21T00:00:00"/>
    <d v="2025-01-23T00:00:00"/>
    <n v="2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s v="Paid"/>
    <x v="0"/>
    <n v="0.25"/>
    <n v="16398.975000000002"/>
    <n v="6842.4550000000017"/>
    <n v="0.4172489439126531"/>
    <x v="9"/>
    <x v="1"/>
    <s v="Clean"/>
  </r>
  <r>
    <s v="ORD-2025-10022"/>
    <d v="2025-01-24T00:00:00"/>
    <d v="2025-01-30T00:00:0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s v="Paid"/>
    <x v="0"/>
    <n v="-0.23"/>
    <n v="3432.6348000000003"/>
    <n v="1394.9248000000002"/>
    <n v="0.40637145553613807"/>
    <x v="9"/>
    <x v="1"/>
    <s v="Invalid"/>
  </r>
  <r>
    <s v="ORD-2025-10023"/>
    <d v="2025-01-19T00:00:00"/>
    <d v="2025-01-21T00:00:00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s v="Failed"/>
    <x v="2"/>
    <n v="0.15"/>
    <n v="8291.5119999999988"/>
    <n v="1606.4819999999991"/>
    <n v="0.19375018693816029"/>
    <x v="9"/>
    <x v="1"/>
    <s v="Clean"/>
  </r>
  <r>
    <s v="ORD-2025-10024"/>
    <d v="2025-08-29T00:00:00"/>
    <d v="2025-08-31T00:00:00"/>
    <n v="2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s v="Paid"/>
    <x v="0"/>
    <n v="0.2"/>
    <n v="6265.6320000000005"/>
    <n v="1943.7720000000008"/>
    <n v="0.31022760353624351"/>
    <x v="1"/>
    <x v="1"/>
    <s v="Clean"/>
  </r>
  <r>
    <s v="ORD-2024-10025"/>
    <d v="2024-03-04T00:00:00"/>
    <d v="2024-03-01T00:00:00"/>
    <n v="-3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x v="1"/>
    <n v="0.25"/>
    <n v="13478.82"/>
    <n v="2541.4699999999993"/>
    <n v="0.18855285551702591"/>
    <x v="10"/>
    <x v="0"/>
    <s v="Warning"/>
  </r>
  <r>
    <s v="ORD-2024-10026"/>
    <d v="2024-11-10T00:00:00"/>
    <d v="2024-10-19T00:00:00"/>
    <n v="-22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s v="Paid"/>
    <x v="0"/>
    <n v="0.15"/>
    <n v="7335.8399999999992"/>
    <n v="2367.4299999999994"/>
    <n v="0.32272105171323251"/>
    <x v="3"/>
    <x v="0"/>
    <s v="Warning"/>
  </r>
  <r>
    <s v="ORD-2024-10027"/>
    <d v="2024-11-23T00:00:00"/>
    <d v="2024-11-23T00:00:00"/>
    <n v="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s v="Paid"/>
    <x v="2"/>
    <n v="0.1"/>
    <n v="2578.0680000000002"/>
    <n v="1050.5180000000003"/>
    <n v="0.40748265755596835"/>
    <x v="3"/>
    <x v="0"/>
    <s v="Clean"/>
  </r>
  <r>
    <s v="ORD-2025-10028"/>
    <d v="2025-09-29T00:00:00"/>
    <d v="2025-05-10T00:00:00"/>
    <n v="-142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x v="2"/>
    <n v="0.25"/>
    <n v="6774.4124999999995"/>
    <n v="2064.0524999999998"/>
    <n v="0.30468361647596748"/>
    <x v="11"/>
    <x v="1"/>
    <s v="Warning"/>
  </r>
  <r>
    <s v="ORD-2024-10029"/>
    <d v="2024-11-10T00:00:00"/>
    <d v="2024-10-18T00:00:00"/>
    <n v="-23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s v="Refunded"/>
    <x v="1"/>
    <n v="0.25"/>
    <n v="2913.33"/>
    <n v="791"/>
    <n v="0.27151060813570727"/>
    <x v="3"/>
    <x v="0"/>
    <s v="Warning"/>
  </r>
  <r>
    <s v="ORD-2025-10030"/>
    <d v="2025-08-13T00:00:00"/>
    <d v="2025-08-13T00:00:00"/>
    <n v="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s v="Paid"/>
    <x v="0"/>
    <n v="0.15"/>
    <n v="217.60849999999999"/>
    <n v="97.838499999999996"/>
    <n v="0.44960789675035673"/>
    <x v="1"/>
    <x v="1"/>
    <s v="Clean"/>
  </r>
  <r>
    <s v="ORD-2024-10031"/>
    <d v="2024-02-09T00:00:00"/>
    <d v="2024-02-12T00:00:00"/>
    <n v="3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s v="Paid"/>
    <x v="0"/>
    <n v="0.1"/>
    <n v="3079.5929999999998"/>
    <n v="1077.7029999999997"/>
    <n v="0.34994981479695525"/>
    <x v="6"/>
    <x v="0"/>
    <s v="Clean"/>
  </r>
  <r>
    <s v="ORD-2025-10032"/>
    <d v="2025-06-15T00:00:00"/>
    <d v="2025-06-19T00:00:00"/>
    <n v="4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s v="Failed"/>
    <x v="2"/>
    <n v="0"/>
    <n v="27832.95"/>
    <n v="10063.200000000001"/>
    <n v="0.36155707533696574"/>
    <x v="2"/>
    <x v="1"/>
    <s v="Clean"/>
  </r>
  <r>
    <s v="ORD-2024-10033"/>
    <d v="2024-11-22T00:00:00"/>
    <d v="2024-11-26T00:00:00"/>
    <n v="4"/>
    <s v="CUST-6509"/>
    <s v="Aarav Sharma"/>
    <x v="2"/>
    <x v="2"/>
    <s v="Andhra Pradesh"/>
    <s v="Vijayawada"/>
    <x v="2"/>
    <x v="11"/>
    <s v="Basic Phones 242"/>
    <x v="0"/>
    <n v="3"/>
    <n v="4001.25"/>
    <n v="0"/>
    <n v="9002.81"/>
    <n v="7529.92"/>
    <n v="1472.89"/>
    <s v="Paid"/>
    <x v="0"/>
    <n v="0"/>
    <n v="12003.75"/>
    <n v="4473.83"/>
    <n v="0.37270269707383108"/>
    <x v="3"/>
    <x v="0"/>
    <s v="Clean"/>
  </r>
  <r>
    <s v="ORD-2024-10034"/>
    <d v="2024-07-22T00:00:00"/>
    <d v="2024-07-27T00:00:00"/>
    <n v="5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s v="Paid"/>
    <x v="0"/>
    <n v="0.25"/>
    <n v="2585.1525000000001"/>
    <n v="514.42250000000013"/>
    <n v="0.19899116203009304"/>
    <x v="0"/>
    <x v="0"/>
    <s v="Clean"/>
  </r>
  <r>
    <s v="ORD-2025-10035"/>
    <d v="2025-01-31T00:00:00"/>
    <d v="2025-02-05T00:00:00"/>
    <n v="5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x v="0"/>
    <n v="0.2"/>
    <n v="6655.5039999999999"/>
    <n v="2315.2939999999999"/>
    <n v="0.34787658455317583"/>
    <x v="9"/>
    <x v="1"/>
    <s v="Clean"/>
  </r>
  <r>
    <s v="ORD-2024-10036"/>
    <d v="2024-05-29T00:00:00"/>
    <d v="2024-05-29T00:00:00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s v="Pending"/>
    <x v="2"/>
    <n v="0.05"/>
    <n v="19054.111999999997"/>
    <n v="3740.2819999999974"/>
    <n v="0.19629789097492437"/>
    <x v="4"/>
    <x v="0"/>
    <s v="Clean"/>
  </r>
  <r>
    <s v="ORD-2024-10037"/>
    <d v="2024-10-25T00:00:00"/>
    <d v="2024-10-28T00:00:00"/>
    <n v="3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s v="Paid"/>
    <x v="2"/>
    <n v="0"/>
    <n v="9379.41"/>
    <n v="2708.5599999999995"/>
    <n v="0.28877722585962223"/>
    <x v="8"/>
    <x v="0"/>
    <s v="Clean"/>
  </r>
  <r>
    <s v="ORD-2025-10038"/>
    <d v="2025-07-29T00:00:00"/>
    <d v="2025-07-29T00:00:00"/>
    <n v="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s v="Paid"/>
    <x v="0"/>
    <n v="0.2"/>
    <n v="4248.1279999999997"/>
    <n v="927.03799999999956"/>
    <n v="0.21822270892025844"/>
    <x v="0"/>
    <x v="1"/>
    <s v="Clean"/>
  </r>
  <r>
    <s v="ORD-2024-10039"/>
    <d v="2024-06-17T00:00:00"/>
    <d v="2024-06-22T00:00:00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s v="Paid"/>
    <x v="0"/>
    <n v="0.1"/>
    <n v="13927.284"/>
    <n v="3422.4139999999989"/>
    <n v="0.24573448778670692"/>
    <x v="2"/>
    <x v="0"/>
    <s v="Clean"/>
  </r>
  <r>
    <s v="ORD-2024-10040"/>
    <d v="2024-12-11T00:00:00"/>
    <d v="2024-12-11T00:00:00"/>
    <n v="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x v="2"/>
    <n v="0.1"/>
    <n v="4935.3120000000008"/>
    <n v="1560.5420000000008"/>
    <n v="0.31619925954022776"/>
    <x v="7"/>
    <x v="0"/>
    <s v="Clean"/>
  </r>
  <r>
    <s v="ORD-2024-10041"/>
    <d v="2024-10-10T00:00:00"/>
    <d v="2024-10-16T00:00:00"/>
    <n v="6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s v="Paid"/>
    <x v="0"/>
    <n v="0.2"/>
    <n v="14051.912"/>
    <n v="2061.5419999999995"/>
    <n v="0.14670900301681361"/>
    <x v="8"/>
    <x v="0"/>
    <s v="Clean"/>
  </r>
  <r>
    <s v="ORD-2024-10042"/>
    <d v="2024-03-12T00:00:00"/>
    <d v="2024-03-17T00:00:00"/>
    <n v="5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x v="1"/>
    <n v="0"/>
    <n v="6846.48"/>
    <n v="2606.5899999999992"/>
    <n v="0.38071972750961069"/>
    <x v="10"/>
    <x v="0"/>
    <s v="Clean"/>
  </r>
  <r>
    <s v="ORD-2025-10043"/>
    <d v="2025-10-10T00:00:00"/>
    <d v="2025-10-15T00:00:00"/>
    <n v="5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s v="Paid"/>
    <x v="0"/>
    <n v="0.05"/>
    <n v="7447.0119999999997"/>
    <n v="2950.7919999999995"/>
    <n v="0.39623838393170302"/>
    <x v="8"/>
    <x v="1"/>
    <s v="Clean"/>
  </r>
  <r>
    <s v="ORD-2024-10044"/>
    <d v="2024-07-08T00:00:00"/>
    <d v="2024-07-14T00:00:00"/>
    <n v="6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s v="Paid"/>
    <x v="0"/>
    <n v="0"/>
    <n v="3030.69"/>
    <n v="1309.6100000000001"/>
    <n v="0.43211611877163292"/>
    <x v="0"/>
    <x v="0"/>
    <s v="Clean"/>
  </r>
  <r>
    <s v="ORD-2024-10045"/>
    <d v="2024-06-22T00:00:00"/>
    <d v="2024-06-25T00:00:00"/>
    <n v="3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s v="Paid"/>
    <x v="0"/>
    <n v="0.1"/>
    <n v="26971.137000000002"/>
    <n v="9594.9370000000017"/>
    <n v="0.35574833200394929"/>
    <x v="2"/>
    <x v="0"/>
    <s v="Clean"/>
  </r>
  <r>
    <s v="ORD-2024-10046"/>
    <d v="2024-01-18T00:00:00"/>
    <d v="2024-01-24T00:00:00"/>
    <n v="6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s v="Pending"/>
    <x v="2"/>
    <n v="0.05"/>
    <n v="29851.432000000001"/>
    <n v="12363.952000000001"/>
    <n v="0.41418287739094062"/>
    <x v="9"/>
    <x v="0"/>
    <s v="Clean"/>
  </r>
  <r>
    <s v="ORD-2024-10047"/>
    <d v="2024-07-19T00:00:00"/>
    <d v="2024-07-19T00:00:00"/>
    <n v="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s v="Refunded"/>
    <x v="2"/>
    <n v="0.25"/>
    <n v="16110.8325"/>
    <n v="5430.8024999999998"/>
    <n v="0.33709012243780695"/>
    <x v="0"/>
    <x v="0"/>
    <s v="Clean"/>
  </r>
  <r>
    <s v="ORD-2024-10048"/>
    <d v="2024-12-08T00:00:00"/>
    <d v="2024-08-12T00:00:00"/>
    <n v="-118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s v="Paid"/>
    <x v="0"/>
    <n v="0.1"/>
    <n v="17606.232"/>
    <n v="5167.2720000000008"/>
    <n v="0.29349107747756592"/>
    <x v="7"/>
    <x v="0"/>
    <s v="Warning"/>
  </r>
  <r>
    <s v="ORD-2025-10049"/>
    <d v="2025-01-30T00:00:00"/>
    <d v="2025-02-05T00:00:00"/>
    <n v="6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s v="Paid"/>
    <x v="0"/>
    <n v="0"/>
    <n v="28445.62"/>
    <n v="7507.0299999999988"/>
    <n v="0.26390811660986818"/>
    <x v="9"/>
    <x v="1"/>
    <s v="Clean"/>
  </r>
  <r>
    <s v="ORD-2024-10050"/>
    <d v="2024-04-06T00:00:00"/>
    <d v="2024-04-13T00:00:00"/>
    <n v="7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s v="Paid"/>
    <x v="0"/>
    <n v="0.05"/>
    <n v="6772.5404999999992"/>
    <n v="1017.0804999999991"/>
    <n v="0.15017710119267641"/>
    <x v="5"/>
    <x v="0"/>
    <s v="Clean"/>
  </r>
  <r>
    <s v="ORD-2025-10051"/>
    <d v="2025-05-11T00:00:00"/>
    <d v="2025-05-19T00:00:00"/>
    <n v="8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x v="0"/>
    <n v="0.15"/>
    <n v="2025.38"/>
    <n v="884.73"/>
    <n v="0.43682173221815163"/>
    <x v="4"/>
    <x v="1"/>
    <s v="Clean"/>
  </r>
  <r>
    <s v="ORD-2024-10052"/>
    <d v="2024-04-24T00:00:00"/>
    <d v="2024-04-29T00:00:00"/>
    <n v="5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s v="Paid"/>
    <x v="0"/>
    <n v="0"/>
    <n v="9168.48"/>
    <n v="1728.7099999999991"/>
    <n v="0.18854924698532355"/>
    <x v="5"/>
    <x v="0"/>
    <s v="Clean"/>
  </r>
  <r>
    <s v="ORD-2024-10053"/>
    <d v="2024-10-26T00:00:00"/>
    <d v="2024-10-28T00:00:00"/>
    <n v="2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s v="Failed"/>
    <x v="1"/>
    <n v="0"/>
    <n v="12596.670000000002"/>
    <n v="1993.380000000001"/>
    <n v="0.15824658421630483"/>
    <x v="8"/>
    <x v="0"/>
    <s v="Clean"/>
  </r>
  <r>
    <s v="ORD-2025-10054"/>
    <d v="2025-03-31T00:00:00"/>
    <d v="2025-03-31T00:00:00"/>
    <n v="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s v="Paid"/>
    <x v="0"/>
    <n v="0.15"/>
    <n v="5131.7475000000004"/>
    <n v="2293.0675000000006"/>
    <n v="0.44683950252813498"/>
    <x v="10"/>
    <x v="1"/>
    <s v="Clean"/>
  </r>
  <r>
    <s v="ORD-2025-10055"/>
    <d v="2025-05-30T00:00:00"/>
    <d v="2025-06-02T00:00:00"/>
    <n v="3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s v="Failed"/>
    <x v="1"/>
    <n v="0.1"/>
    <n v="3415.4639999999999"/>
    <n v="1422.2339999999999"/>
    <n v="0.4164101861416194"/>
    <x v="4"/>
    <x v="1"/>
    <s v="Clean"/>
  </r>
  <r>
    <s v="ORD-2025-10056"/>
    <d v="2025-01-07T00:00:00"/>
    <d v="2025-03-07T00:00:00"/>
    <n v="59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s v="Paid"/>
    <x v="0"/>
    <n v="0.25"/>
    <n v="3411.54"/>
    <n v="608.40999999999985"/>
    <n v="0.17833881472883209"/>
    <x v="9"/>
    <x v="1"/>
    <s v="Clean"/>
  </r>
  <r>
    <s v="ORD-2025-10057"/>
    <d v="2025-01-05T00:00:00"/>
    <d v="2025-06-01T00:00:00"/>
    <n v="147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s v="Refunded"/>
    <x v="1"/>
    <n v="0"/>
    <n v="9466.83"/>
    <n v="2909"/>
    <n v="0.30728343067320318"/>
    <x v="9"/>
    <x v="1"/>
    <s v="Clean"/>
  </r>
  <r>
    <s v="ORD-2024-10058"/>
    <d v="2024-02-07T00:00:00"/>
    <d v="2024-02-15T00:00:00"/>
    <n v="8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s v="Paid"/>
    <x v="0"/>
    <n v="0"/>
    <n v="1279.3499999999999"/>
    <n v="187.80999999999995"/>
    <n v="0.14680110993864068"/>
    <x v="6"/>
    <x v="0"/>
    <s v="Clean"/>
  </r>
  <r>
    <s v="ORD-2024-10059"/>
    <d v="2024-09-01T00:00:00"/>
    <d v="2024-09-07T00:00:00"/>
    <n v="6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s v="Pending"/>
    <x v="2"/>
    <n v="0.1"/>
    <n v="11254.788"/>
    <n v="4676.7280000000001"/>
    <n v="0.41553230500654476"/>
    <x v="11"/>
    <x v="0"/>
    <s v="Clean"/>
  </r>
  <r>
    <s v="ORD-2024-10060"/>
    <d v="2024-07-20T00:00:00"/>
    <d v="2024-07-25T00:00:00"/>
    <n v="5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x v="1"/>
    <n v="0.2"/>
    <n v="16535.400000000001"/>
    <n v="3545.1900000000023"/>
    <n v="0.21440001451431487"/>
    <x v="0"/>
    <x v="0"/>
    <s v="Clean"/>
  </r>
  <r>
    <s v="ORD-2024-10061"/>
    <d v="2024-07-13T00:00:00"/>
    <d v="2024-07-19T00:00:00"/>
    <n v="6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s v="Refunded"/>
    <x v="1"/>
    <n v="0.2"/>
    <n v="661.82400000000007"/>
    <n v="180.35400000000004"/>
    <n v="0.27251051639106472"/>
    <x v="0"/>
    <x v="0"/>
    <s v="Clean"/>
  </r>
  <r>
    <s v="ORD-2024-10062"/>
    <d v="2024-04-16T00:00:00"/>
    <d v="2024-04-16T00:00:00"/>
    <n v="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s v="Paid"/>
    <x v="0"/>
    <n v="0"/>
    <n v="949.59"/>
    <n v="198.34000000000003"/>
    <n v="0.20886909087079689"/>
    <x v="5"/>
    <x v="0"/>
    <s v="Clean"/>
  </r>
  <r>
    <s v="ORD-2024-10063"/>
    <d v="2024-10-30T00:00:00"/>
    <d v="2024-02-11T00:00:00"/>
    <n v="-262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s v="Paid"/>
    <x v="0"/>
    <n v="0.2"/>
    <n v="21904.488000000001"/>
    <n v="8333.9380000000019"/>
    <n v="0.38046714445003244"/>
    <x v="8"/>
    <x v="0"/>
    <s v="Warning"/>
  </r>
  <r>
    <s v="ORD-2024-10064"/>
    <d v="2024-01-25T00:00:00"/>
    <d v="2024-01-02T00:00:00"/>
    <n v="-23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s v="Paid"/>
    <x v="0"/>
    <n v="0.15"/>
    <n v="4815.7089999999998"/>
    <n v="1787.9589999999998"/>
    <n v="0.37127637903369992"/>
    <x v="9"/>
    <x v="0"/>
    <s v="Warning"/>
  </r>
  <r>
    <s v="ORD-2024-10065"/>
    <d v="2024-12-23T00:00:00"/>
    <d v="2024-12-29T00:00:00"/>
    <n v="6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s v="Refunded"/>
    <x v="2"/>
    <n v="0"/>
    <n v="3134.8799999999997"/>
    <n v="767.24999999999955"/>
    <n v="0.24474621038125849"/>
    <x v="7"/>
    <x v="0"/>
    <s v="Clean"/>
  </r>
  <r>
    <s v="ORD-2024-10066"/>
    <d v="2024-04-22T00:00:00"/>
    <d v="2024-04-27T00:00:00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s v="Paid"/>
    <x v="0"/>
    <n v="0.05"/>
    <n v="4066.1804999999995"/>
    <n v="1437.2604999999994"/>
    <n v="0.35346696980126674"/>
    <x v="5"/>
    <x v="0"/>
    <s v="Clean"/>
  </r>
  <r>
    <s v="ORD-2025-10067"/>
    <d v="2025-08-28T00:00:00"/>
    <d v="2025-09-01T00:00:00"/>
    <n v="4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s v="Paid"/>
    <x v="0"/>
    <n v="0.05"/>
    <n v="7032.1089999999995"/>
    <n v="2421.7689999999993"/>
    <n v="0.34438729547565311"/>
    <x v="1"/>
    <x v="1"/>
    <s v="Clean"/>
  </r>
  <r>
    <s v="ORD-2025-10068"/>
    <d v="2025-02-03T00:00:00"/>
    <d v="2025-07-02T00:00:00"/>
    <n v="149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s v="Paid"/>
    <x v="0"/>
    <n v="0.05"/>
    <n v="24002.111000000001"/>
    <n v="5294.5410000000011"/>
    <n v="0.2205864725815159"/>
    <x v="6"/>
    <x v="1"/>
    <s v="Clean"/>
  </r>
  <r>
    <s v="ORD-2024-10069"/>
    <d v="2024-11-10T00:00:00"/>
    <d v="2024-11-13T00:00:00"/>
    <n v="3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s v="Failed"/>
    <x v="2"/>
    <n v="0"/>
    <n v="19900.079999999998"/>
    <n v="8937.4199999999983"/>
    <n v="0.44911477742803041"/>
    <x v="3"/>
    <x v="0"/>
    <s v="Clean"/>
  </r>
  <r>
    <s v="ORD-2024-10070"/>
    <d v="2024-04-09T00:00:00"/>
    <d v="2024-04-14T00:00:00"/>
    <n v="5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x v="2"/>
    <n v="0.1"/>
    <n v="21527.667000000001"/>
    <n v="3240.0869999999995"/>
    <n v="0.15050804158202555"/>
    <x v="5"/>
    <x v="0"/>
    <s v="Clean"/>
  </r>
  <r>
    <s v="ORD-2025-10071"/>
    <d v="2025-08-22T00:00:00"/>
    <d v="2025-08-27T00:00:00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s v="Paid"/>
    <x v="0"/>
    <n v="0.15"/>
    <n v="1539.979"/>
    <n v="469.779"/>
    <n v="0.30505545854846072"/>
    <x v="1"/>
    <x v="1"/>
    <s v="Clean"/>
  </r>
  <r>
    <s v="ORD-2025-10072"/>
    <d v="2025-04-16T00:00:00"/>
    <d v="2025-04-23T00:00:00"/>
    <n v="7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s v="Paid"/>
    <x v="0"/>
    <n v="0.1"/>
    <n v="10947.528"/>
    <n v="4500.1680000000006"/>
    <n v="0.41106704636882413"/>
    <x v="5"/>
    <x v="1"/>
    <s v="Clean"/>
  </r>
  <r>
    <s v="ORD-2024-10073"/>
    <d v="2024-02-11T00:00:00"/>
    <d v="2024-02-07T00:00:00"/>
    <n v="-4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x v="0"/>
    <n v="0.15"/>
    <n v="13610.446499999998"/>
    <n v="3571.3964999999989"/>
    <n v="0.26240112695788487"/>
    <x v="6"/>
    <x v="0"/>
    <s v="Warning"/>
  </r>
  <r>
    <s v="ORD-2025-10074"/>
    <d v="2025-03-29T00:00:00"/>
    <d v="2025-04-03T00:00:00"/>
    <n v="5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s v="Paid"/>
    <x v="0"/>
    <n v="0"/>
    <n v="7128.7"/>
    <n v="2746.55"/>
    <n v="0.38528062620113068"/>
    <x v="10"/>
    <x v="1"/>
    <s v="Clean"/>
  </r>
  <r>
    <s v="ORD-2025-10075"/>
    <d v="2025-02-27T00:00:00"/>
    <d v="2025-03-01T00:00:00"/>
    <n v="2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s v="Paid"/>
    <x v="0"/>
    <n v="0"/>
    <n v="3309.84"/>
    <n v="638.76000000000022"/>
    <n v="0.19298818069755644"/>
    <x v="6"/>
    <x v="1"/>
    <s v="Clean"/>
  </r>
  <r>
    <s v="ORD-2025-10076"/>
    <d v="2025-08-22T00:00:00"/>
    <d v="2025-08-27T00:00:00"/>
    <n v="5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s v="Paid"/>
    <x v="0"/>
    <n v="0.2"/>
    <n v="7907.5680000000011"/>
    <n v="2516.3880000000008"/>
    <n v="0.31822527482533197"/>
    <x v="1"/>
    <x v="1"/>
    <s v="Clean"/>
  </r>
  <r>
    <s v="ORD-2024-10077"/>
    <d v="2024-11-03T00:00:00"/>
    <d v="2024-11-11T00:00:00"/>
    <n v="8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s v="Paid"/>
    <x v="0"/>
    <n v="0"/>
    <n v="10218.81"/>
    <n v="2601.8399999999992"/>
    <n v="0.2546128169522674"/>
    <x v="3"/>
    <x v="0"/>
    <s v="Clean"/>
  </r>
  <r>
    <s v="ORD-2025-10078"/>
    <d v="2025-07-08T00:00:00"/>
    <d v="2025-12-07T00:00:00"/>
    <n v="152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x v="1"/>
    <n v="0.15"/>
    <n v="2194.87"/>
    <n v="971.69999999999982"/>
    <n v="0.44271414707932583"/>
    <x v="0"/>
    <x v="1"/>
    <s v="Clean"/>
  </r>
  <r>
    <s v="ORD-2025-10079"/>
    <d v="2025-07-16T00:00:00"/>
    <d v="2025-07-21T00:00:00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x v="0"/>
    <n v="0.15"/>
    <n v="9050.4175000000014"/>
    <n v="2271.567500000001"/>
    <n v="0.25099035486484472"/>
    <x v="0"/>
    <x v="1"/>
    <s v="Clean"/>
  </r>
  <r>
    <s v="ORD-2025-10080"/>
    <d v="2025-09-27T00:00:00"/>
    <d v="2025-10-03T00:00:00"/>
    <n v="6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x v="0"/>
    <n v="0.1"/>
    <n v="33465.312000000005"/>
    <n v="8684.052000000007"/>
    <n v="0.25949412932411942"/>
    <x v="11"/>
    <x v="1"/>
    <s v="Clean"/>
  </r>
  <r>
    <s v="ORD-2024-10081"/>
    <d v="2024-08-10T00:00:00"/>
    <d v="2024-08-14T00:00:00"/>
    <n v="4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s v="Pending"/>
    <x v="2"/>
    <n v="0.1"/>
    <n v="4256.3519999999999"/>
    <n v="1761.0219999999999"/>
    <n v="0.41373974708858663"/>
    <x v="1"/>
    <x v="0"/>
    <s v="Clean"/>
  </r>
  <r>
    <s v="ORD-2025-10082"/>
    <d v="2025-03-16T00:00:00"/>
    <d v="2025-03-17T00:00:00"/>
    <n v="1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s v="Paid"/>
    <x v="0"/>
    <n v="0"/>
    <n v="5525.7300000000005"/>
    <n v="2432.3100000000004"/>
    <n v="0.44017894468242208"/>
    <x v="10"/>
    <x v="1"/>
    <s v="Clean"/>
  </r>
  <r>
    <s v="ORD-2024-10083"/>
    <d v="2024-08-03T00:00:00"/>
    <d v="2024-04-08T00:00:00"/>
    <n v="-117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s v="Failed"/>
    <x v="2"/>
    <n v="0"/>
    <n v="6010.38"/>
    <n v="2247.5300000000002"/>
    <n v="0.37394141468592673"/>
    <x v="1"/>
    <x v="0"/>
    <s v="Warning"/>
  </r>
  <r>
    <s v="ORD-2024-10084"/>
    <d v="2024-10-26T00:00:00"/>
    <d v="2024-10-29T00:00:00"/>
    <n v="3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s v="Paid"/>
    <x v="0"/>
    <n v="0.2"/>
    <n v="948.52800000000013"/>
    <n v="273.90800000000013"/>
    <n v="0.28877165460587362"/>
    <x v="8"/>
    <x v="0"/>
    <s v="Clean"/>
  </r>
  <r>
    <s v="ORD-2024-10085"/>
    <d v="2024-10-01T00:00:00"/>
    <d v="2024-10-03T00:00:00"/>
    <n v="2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s v="Paid"/>
    <x v="0"/>
    <n v="0.2"/>
    <n v="2737.3440000000001"/>
    <n v="651.904"/>
    <n v="0.23815201889130486"/>
    <x v="8"/>
    <x v="0"/>
    <s v="Clean"/>
  </r>
  <r>
    <s v="ORD-2024-10086"/>
    <d v="2024-07-30T00:00:00"/>
    <d v="2024-08-05T00:00:00"/>
    <n v="6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s v="Paid"/>
    <x v="1"/>
    <n v="0"/>
    <n v="608.64"/>
    <n v="264.64999999999998"/>
    <n v="0.43482189800210302"/>
    <x v="0"/>
    <x v="0"/>
    <s v="Clean"/>
  </r>
  <r>
    <s v="ORD-2024-10087"/>
    <d v="2024-07-01T00:00:00"/>
    <d v="2024-07-01T00:00:00"/>
    <n v="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s v="Refunded"/>
    <x v="1"/>
    <n v="0.1"/>
    <n v="2390.2560000000003"/>
    <n v="894.31600000000026"/>
    <n v="0.37415071858411825"/>
    <x v="0"/>
    <x v="0"/>
    <s v="Clean"/>
  </r>
  <r>
    <s v="ORD-2024-10088"/>
    <d v="2024-02-08T00:00:00"/>
    <d v="2024-08-03T00:00:00"/>
    <n v="177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s v="Paid"/>
    <x v="0"/>
    <n v="0"/>
    <n v="23416.539999999997"/>
    <n v="7925.6499999999978"/>
    <n v="0.33846375254414185"/>
    <x v="6"/>
    <x v="0"/>
    <s v="Clean"/>
  </r>
  <r>
    <s v="ORD-2024-10089"/>
    <d v="2024-03-24T00:00:00"/>
    <d v="2024-03-27T00:00:00"/>
    <n v="3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s v="Paid"/>
    <x v="0"/>
    <n v="0.05"/>
    <n v="6241.0249999999996"/>
    <n v="895.14499999999953"/>
    <n v="0.14342916427990587"/>
    <x v="10"/>
    <x v="0"/>
    <s v="Clean"/>
  </r>
  <r>
    <s v="ORD-2024-10090"/>
    <d v="2024-09-05T00:00:00"/>
    <d v="2024-09-05T00:00:00"/>
    <n v="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x v="1"/>
    <n v="0.2"/>
    <n v="21062.104000000003"/>
    <n v="9004.9740000000038"/>
    <n v="0.42754389589947911"/>
    <x v="11"/>
    <x v="0"/>
    <s v="Clean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s v="Paid"/>
    <x v="0"/>
    <n v="0.15"/>
    <n v="9445.098"/>
    <n v="3858.8180000000002"/>
    <n v="0.40855245758170006"/>
    <x v="1"/>
    <x v="1"/>
    <s v="Clean"/>
  </r>
  <r>
    <s v="ORD-2025-10092"/>
    <d v="2025-02-03T00:00:00"/>
    <d v="2025-03-08T00:00:00"/>
    <n v="33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s v="Paid"/>
    <x v="0"/>
    <n v="0"/>
    <n v="2427.12"/>
    <n v="888.77"/>
    <n v="0.36618296581957216"/>
    <x v="6"/>
    <x v="1"/>
    <s v="Clean"/>
  </r>
  <r>
    <s v="ORD-2025-10093"/>
    <d v="2025-01-23T00:00:00"/>
    <d v="2025-01-26T00:00:00"/>
    <n v="3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s v="Paid"/>
    <x v="0"/>
    <n v="0.1"/>
    <n v="36111.906000000003"/>
    <n v="6917.4060000000027"/>
    <n v="0.19155471882320479"/>
    <x v="9"/>
    <x v="1"/>
    <s v="Clean"/>
  </r>
  <r>
    <s v="ORD-2024-10094"/>
    <d v="2024-01-07T00:00:00"/>
    <d v="2024-01-13T00:00:00"/>
    <n v="6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s v="Paid"/>
    <x v="0"/>
    <n v="-0.09"/>
    <n v="21279.841099999998"/>
    <n v="8824.0610999999972"/>
    <n v="0.41466762174272054"/>
    <x v="9"/>
    <x v="0"/>
    <s v="Invalid"/>
  </r>
  <r>
    <s v="ORD-2024-10095"/>
    <d v="2024-09-06T00:00:00"/>
    <d v="2024-09-09T00:00:00"/>
    <n v="3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x v="1"/>
    <n v="0"/>
    <n v="26470.710000000003"/>
    <n v="5103.1100000000042"/>
    <n v="0.19278326875251944"/>
    <x v="11"/>
    <x v="0"/>
    <s v="Clean"/>
  </r>
  <r>
    <s v="ORD-2025-10096"/>
    <d v="2025-05-09T00:00:00"/>
    <d v="2025-09-10T00:00:00"/>
    <n v="124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s v="Paid"/>
    <x v="0"/>
    <n v="0"/>
    <n v="10524.78"/>
    <n v="1683.7300000000014"/>
    <n v="0.15997769074507984"/>
    <x v="4"/>
    <x v="1"/>
    <s v="Clean"/>
  </r>
  <r>
    <s v="ORD-2024-10097"/>
    <d v="2024-06-05T00:00:00"/>
    <d v="2024-07-06T00:00:00"/>
    <n v="31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s v="Paid"/>
    <x v="0"/>
    <n v="0.15"/>
    <n v="3840.7079999999996"/>
    <n v="1324.4179999999997"/>
    <n v="0.34483694152224009"/>
    <x v="2"/>
    <x v="0"/>
    <s v="Clean"/>
  </r>
  <r>
    <s v="ORD-2025-10098"/>
    <d v="2025-08-08T00:00:00"/>
    <d v="2025-08-11T00:00:00"/>
    <n v="3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s v="Pending"/>
    <x v="2"/>
    <n v="0.2"/>
    <n v="14409.44"/>
    <n v="5599.4700000000012"/>
    <n v="0.38859733619071951"/>
    <x v="1"/>
    <x v="1"/>
    <s v="Clean"/>
  </r>
  <r>
    <s v="ORD-2024-10099"/>
    <d v="2024-01-26T00:00:00"/>
    <d v="2024-02-01T00:00:00"/>
    <n v="6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s v="Paid"/>
    <x v="0"/>
    <n v="0.1"/>
    <n v="15184.295999999998"/>
    <n v="3913.5559999999987"/>
    <n v="0.25773707256497103"/>
    <x v="9"/>
    <x v="0"/>
    <s v="Clean"/>
  </r>
  <r>
    <s v="ORD-2025-10100"/>
    <d v="2025-11-01T00:00:00"/>
    <d v="2025-11-01T00:00:00"/>
    <n v="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s v="Paid"/>
    <x v="0"/>
    <n v="0"/>
    <n v="6495.87"/>
    <n v="1794.9799999999996"/>
    <n v="0.27632634273777024"/>
    <x v="3"/>
    <x v="1"/>
    <s v="Clean"/>
  </r>
  <r>
    <s v="ORD-2025-10101"/>
    <d v="2025-09-12T00:00:00"/>
    <d v="2025-09-18T00:00:00"/>
    <n v="6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s v="Paid"/>
    <x v="0"/>
    <n v="0.05"/>
    <n v="9540.659999999998"/>
    <n v="3979.1699999999983"/>
    <n v="0.41707491934520241"/>
    <x v="11"/>
    <x v="1"/>
    <s v="Clean"/>
  </r>
  <r>
    <s v="ORD-2024-10102"/>
    <d v="2024-06-22T00:00:00"/>
    <d v="2024-06-26T00:00:00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x v="0"/>
    <n v="0.25"/>
    <n v="16486.95"/>
    <n v="4432.8100000000013"/>
    <n v="0.26886780150361356"/>
    <x v="2"/>
    <x v="0"/>
    <s v="Clean"/>
  </r>
  <r>
    <s v="ORD-2025-10103"/>
    <d v="2025-07-12T00:00:00"/>
    <d v="2025-07-16T00:00:00"/>
    <n v="4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x v="1"/>
    <n v="0"/>
    <n v="11462.84"/>
    <n v="2483.0599999999995"/>
    <n v="0.21661822026653077"/>
    <x v="0"/>
    <x v="1"/>
    <s v="Clean"/>
  </r>
  <r>
    <s v="ORD-2025-10104"/>
    <d v="2025-05-02T00:00:00"/>
    <d v="2025-05-10T00:00:00"/>
    <n v="8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s v="Paid"/>
    <x v="0"/>
    <n v="0.2"/>
    <n v="7809.0880000000006"/>
    <n v="1151.3380000000006"/>
    <n v="0.14743565445798543"/>
    <x v="4"/>
    <x v="1"/>
    <s v="Clean"/>
  </r>
  <r>
    <s v="ORD-2025-10105"/>
    <d v="2025-02-01T00:00:00"/>
    <d v="2025-02-08T00:00:00"/>
    <n v="7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s v="Paid"/>
    <x v="1"/>
    <n v="0.25"/>
    <n v="7922.0250000000005"/>
    <n v="2302.0750000000007"/>
    <n v="0.29059173633004193"/>
    <x v="6"/>
    <x v="1"/>
    <s v="Clean"/>
  </r>
  <r>
    <s v="ORD-2024-10106"/>
    <d v="2024-06-24T00:00:00"/>
    <d v="2024-06-29T00:00:00"/>
    <n v="5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s v="Paid"/>
    <x v="0"/>
    <n v="0.1"/>
    <n v="1233"/>
    <n v="226.10000000000002"/>
    <n v="0.18337388483373887"/>
    <x v="2"/>
    <x v="0"/>
    <s v="Clean"/>
  </r>
  <r>
    <s v="ORD-2024-10107"/>
    <d v="2024-02-20T00:00:00"/>
    <d v="2024-02-28T00:00:00"/>
    <n v="8"/>
    <s v="CUST-4008"/>
    <s v="Arjun Bose"/>
    <x v="3"/>
    <x v="1"/>
    <s v="West Bengal"/>
    <s v="Kolkata"/>
    <x v="0"/>
    <x v="0"/>
    <s v="Eco Paper 918"/>
    <x v="3"/>
    <n v="2"/>
    <n v="4004.04"/>
    <n v="0"/>
    <n v="7207.27"/>
    <n v="5709.39"/>
    <n v="1497.88"/>
    <s v="Paid"/>
    <x v="1"/>
    <n v="0"/>
    <n v="8008.08"/>
    <n v="2298.6899999999996"/>
    <n v="0.28704633320346445"/>
    <x v="6"/>
    <x v="0"/>
    <s v="Clean"/>
  </r>
  <r>
    <s v="ORD-2024-10108"/>
    <d v="2024-10-29T00:00:00"/>
    <d v="2024-11-04T00:00:00"/>
    <n v="6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x v="0"/>
    <n v="0.05"/>
    <n v="12263.236500000001"/>
    <n v="3337.6665000000012"/>
    <n v="0.27216848504878799"/>
    <x v="8"/>
    <x v="0"/>
    <s v="Clean"/>
  </r>
  <r>
    <s v="ORD-2024-10109"/>
    <d v="2024-08-15T00:00:00"/>
    <d v="2024-08-23T00:00:00"/>
    <n v="8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s v="Paid"/>
    <x v="0"/>
    <n v="0.25"/>
    <n v="806.31"/>
    <n v="307.80999999999995"/>
    <n v="0.38175143555208291"/>
    <x v="1"/>
    <x v="0"/>
    <s v="Clean"/>
  </r>
  <r>
    <s v="ORD-2025-10110"/>
    <d v="2025-08-23T00:00:00"/>
    <d v="2025-08-27T00:00:00"/>
    <n v="4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s v="Paid"/>
    <x v="0"/>
    <n v="0.25"/>
    <n v="2091.4650000000001"/>
    <n v="774.24500000000012"/>
    <n v="0.37019266399389905"/>
    <x v="1"/>
    <x v="1"/>
    <s v="Clean"/>
  </r>
  <r>
    <s v="ORD-2024-10111"/>
    <d v="2024-10-18T00:00:00"/>
    <d v="2024-10-24T00:00:00"/>
    <n v="6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s v="Refunded"/>
    <x v="1"/>
    <n v="0"/>
    <n v="4500.9399999999996"/>
    <n v="1893.2099999999996"/>
    <n v="0.42062546934640316"/>
    <x v="8"/>
    <x v="0"/>
    <s v="Clean"/>
  </r>
  <r>
    <s v="ORD-2025-10112"/>
    <d v="2025-06-27T00:00:00"/>
    <d v="2025-06-30T00:00:00"/>
    <n v="3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s v="Pending"/>
    <x v="1"/>
    <n v="0.05"/>
    <n v="1623.018"/>
    <n v="545.55799999999999"/>
    <n v="0.3361379849145234"/>
    <x v="2"/>
    <x v="1"/>
    <s v="Clean"/>
  </r>
  <r>
    <s v="ORD-2024-10113"/>
    <d v="2024-01-10T00:00:00"/>
    <d v="2024-01-14T00:00:00"/>
    <n v="4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s v="Paid"/>
    <x v="0"/>
    <n v="0.05"/>
    <n v="10914.018"/>
    <n v="4365.2780000000002"/>
    <n v="0.39996983695647198"/>
    <x v="9"/>
    <x v="0"/>
    <s v="Clean"/>
  </r>
  <r>
    <s v="ORD-2024-10114"/>
    <d v="2024-12-02T00:00:00"/>
    <d v="2024-12-02T00:00:00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s v="Paid"/>
    <x v="0"/>
    <n v="0.25"/>
    <n v="2450.5875000000001"/>
    <n v="810.69749999999999"/>
    <n v="0.33081761006289306"/>
    <x v="7"/>
    <x v="0"/>
    <s v="Clean"/>
  </r>
  <r>
    <s v="ORD-2024-10115"/>
    <d v="2024-09-25T00:00:00"/>
    <d v="2024-09-30T00:00:0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s v="Pending"/>
    <x v="1"/>
    <n v="0.1"/>
    <n v="3949.56"/>
    <n v="762.82999999999993"/>
    <n v="0.19314303365438173"/>
    <x v="11"/>
    <x v="0"/>
    <s v="Clean"/>
  </r>
  <r>
    <s v="ORD-2024-10116"/>
    <d v="2024-12-27T00:00:00"/>
    <d v="2025-01-01T00:00:00"/>
    <n v="5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s v="Paid"/>
    <x v="1"/>
    <n v="0.15"/>
    <n v="758.77799999999991"/>
    <n v="268.0379999999999"/>
    <n v="0.35324956706704719"/>
    <x v="7"/>
    <x v="0"/>
    <s v="Clean"/>
  </r>
  <r>
    <s v="ORD-2025-10117"/>
    <d v="2025-02-15T00:00:00"/>
    <d v="2025-02-19T00:00:00"/>
    <n v="4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s v="Failed"/>
    <x v="1"/>
    <n v="0.25"/>
    <n v="3590.9324999999999"/>
    <n v="529.54250000000002"/>
    <n v="0.14746657031286442"/>
    <x v="6"/>
    <x v="1"/>
    <s v="Clean"/>
  </r>
  <r>
    <s v="ORD-2024-10118"/>
    <d v="2024-02-15T00:00:00"/>
    <d v="2024-02-17T00:00:00"/>
    <n v="2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s v="Paid"/>
    <x v="0"/>
    <n v="0.7"/>
    <n v="8976.2850000000017"/>
    <n v="-11393.874999999998"/>
    <n v="-1.2693307977632167"/>
    <x v="6"/>
    <x v="0"/>
    <s v="Clean"/>
  </r>
  <r>
    <s v="ORD-2024-10119"/>
    <d v="2024-06-10T00:00:00"/>
    <d v="2024-06-18T00:00:00"/>
    <n v="8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s v="Paid"/>
    <x v="0"/>
    <n v="0.2"/>
    <n v="6321.0800000000008"/>
    <n v="1913.8600000000006"/>
    <n v="0.30277420947053357"/>
    <x v="2"/>
    <x v="0"/>
    <s v="Clean"/>
  </r>
  <r>
    <s v="ORD-2024-10120"/>
    <d v="2024-06-12T00:00:00"/>
    <d v="2024-06-19T00:00:00"/>
    <n v="7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s v="Refunded"/>
    <x v="2"/>
    <n v="0.25"/>
    <n v="1884.3000000000002"/>
    <n v="366.61000000000013"/>
    <n v="0.19456031417502526"/>
    <x v="2"/>
    <x v="0"/>
    <s v="Clean"/>
  </r>
  <r>
    <s v="ORD-2024-10121"/>
    <d v="2024-08-10T00:00:00"/>
    <d v="2024-08-18T00:00:00"/>
    <n v="8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s v="Paid"/>
    <x v="2"/>
    <n v="0.2"/>
    <n v="1458.9360000000001"/>
    <n v="565.7360000000001"/>
    <n v="0.38777300717783375"/>
    <x v="1"/>
    <x v="0"/>
    <s v="Clean"/>
  </r>
  <r>
    <s v="ORD-2025-10122"/>
    <d v="2025-08-22T00:00:00"/>
    <d v="2025-08-26T00:00:00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x v="1"/>
    <n v="0"/>
    <n v="17414.599999999999"/>
    <n v="5653.6899999999987"/>
    <n v="0.3246523032398102"/>
    <x v="1"/>
    <x v="1"/>
    <s v="Clean"/>
  </r>
  <r>
    <s v="ORD-2024-10123"/>
    <d v="2024-11-30T00:00:00"/>
    <d v="2024-04-12T00:00:00"/>
    <n v="-232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s v="Paid"/>
    <x v="0"/>
    <n v="0"/>
    <n v="511.04999999999995"/>
    <n v="143.86999999999995"/>
    <n v="0.28151844242246349"/>
    <x v="3"/>
    <x v="0"/>
    <s v="Warning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x v="1"/>
    <n v="0"/>
    <n v="634.13"/>
    <n v="180.77999999999997"/>
    <n v="0.28508350022865969"/>
    <x v="4"/>
    <x v="0"/>
    <s v="Clean"/>
  </r>
  <r>
    <s v="ORD-2024-10125"/>
    <d v="2024-07-21T00:00:00"/>
    <d v="2024-07-24T00:00:00"/>
    <n v="3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s v="Paid"/>
    <x v="0"/>
    <n v="-0.15"/>
    <n v="4813.3709999999992"/>
    <n v="1369.6309999999994"/>
    <n v="0.28454715001191466"/>
    <x v="0"/>
    <x v="0"/>
    <s v="Invalid"/>
  </r>
  <r>
    <s v="ORD-2025-10126"/>
    <d v="2025-07-17T00:00:00"/>
    <d v="2025-07-18T00:00:00"/>
    <n v="1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s v="Refunded"/>
    <x v="2"/>
    <n v="0.25"/>
    <n v="14558.715"/>
    <n v="4967.2350000000006"/>
    <n v="0.34118636157105903"/>
    <x v="0"/>
    <x v="1"/>
    <s v="Clean"/>
  </r>
  <r>
    <s v="ORD-2025-10127"/>
    <d v="2025-09-24T00:00:00"/>
    <d v="2025-09-26T00:00:00"/>
    <n v="2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s v="Paid"/>
    <x v="0"/>
    <n v="0.1"/>
    <n v="4303.4220000000005"/>
    <n v="1734.8520000000003"/>
    <n v="0.40313313451481175"/>
    <x v="11"/>
    <x v="1"/>
    <s v="Clean"/>
  </r>
  <r>
    <s v="ORD-2025-10128"/>
    <d v="2025-01-30T00:00:00"/>
    <d v="2025-01-26T00:00:00"/>
    <n v="-4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x v="0"/>
    <n v="0.05"/>
    <n v="5774.67"/>
    <n v="2256.31"/>
    <n v="0.39072535746631409"/>
    <x v="9"/>
    <x v="1"/>
    <s v="Warning"/>
  </r>
  <r>
    <s v="ORD-2024-10129"/>
    <d v="2024-12-13T00:00:00"/>
    <d v="2024-12-16T00:00:00"/>
    <n v="3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s v="Paid"/>
    <x v="2"/>
    <n v="0.05"/>
    <n v="4386.3874999999998"/>
    <n v="1019.5074999999997"/>
    <n v="0.2324253158208206"/>
    <x v="7"/>
    <x v="0"/>
    <s v="Clean"/>
  </r>
  <r>
    <s v="ORD-2024-10130"/>
    <d v="2024-07-19T00:00:00"/>
    <d v="2024-07-25T00:00:00"/>
    <n v="6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s v="Paid"/>
    <x v="0"/>
    <n v="0.05"/>
    <n v="18229.5785"/>
    <n v="3090.4285"/>
    <n v="0.16952824773211295"/>
    <x v="0"/>
    <x v="0"/>
    <s v="Clean"/>
  </r>
  <r>
    <s v="ORD-2024-10131"/>
    <d v="2024-01-27T00:00:00"/>
    <d v="2024-02-02T00:00:00"/>
    <n v="6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s v="Pending"/>
    <x v="1"/>
    <n v="0.2"/>
    <n v="873.68"/>
    <n v="211.95999999999992"/>
    <n v="0.24260598846259493"/>
    <x v="9"/>
    <x v="0"/>
    <s v="Clean"/>
  </r>
  <r>
    <s v="ORD-2025-10132"/>
    <d v="2025-09-29T00:00:00"/>
    <d v="2025-10-04T00:00:00"/>
    <n v="5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s v="Paid"/>
    <x v="0"/>
    <n v="0.2"/>
    <n v="2692.152"/>
    <n v="647.66200000000003"/>
    <n v="0.24057408348414205"/>
    <x v="11"/>
    <x v="1"/>
    <s v="Clean"/>
  </r>
  <r>
    <s v="ORD-2024-10133"/>
    <d v="2024-11-04T00:00:00"/>
    <d v="2024-11-04T00:00:00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x v="1"/>
    <n v="0"/>
    <n v="1066.1600000000001"/>
    <n v="409.86000000000013"/>
    <n v="0.38442635251744589"/>
    <x v="3"/>
    <x v="0"/>
    <s v="Clean"/>
  </r>
  <r>
    <s v="ORD-2024-10134"/>
    <d v="2024-12-13T00:00:00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x v="0"/>
    <n v="0.15"/>
    <n v="22930.62"/>
    <n v="6055.07"/>
    <n v="0.26406045715292475"/>
    <x v="7"/>
    <x v="0"/>
    <s v="Clean"/>
  </r>
  <r>
    <s v="ORD-2025-10135"/>
    <d v="2025-07-14T00:00:00"/>
    <d v="2025-07-14T00:00:00"/>
    <n v="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s v="Pending"/>
    <x v="1"/>
    <n v="0.25"/>
    <n v="1436.625"/>
    <n v="524.10500000000002"/>
    <n v="0.36481684503610895"/>
    <x v="0"/>
    <x v="1"/>
    <s v="Clean"/>
  </r>
  <r>
    <s v="ORD-2025-10136"/>
    <d v="2025-08-24T00:00:00"/>
    <d v="2025-08-24T00:00:00"/>
    <n v="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s v="Paid"/>
    <x v="0"/>
    <n v="0"/>
    <n v="3424.78"/>
    <n v="1473.3300000000002"/>
    <n v="0.43019697615613267"/>
    <x v="1"/>
    <x v="1"/>
    <s v="Clean"/>
  </r>
  <r>
    <s v="ORD-2025-10137"/>
    <d v="2025-09-02T00:00:00"/>
    <d v="2025-02-15T00:00:00"/>
    <n v="-199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s v="Paid"/>
    <x v="0"/>
    <n v="0.2"/>
    <n v="31178.376000000004"/>
    <n v="9757.2860000000037"/>
    <n v="0.31295042435821552"/>
    <x v="11"/>
    <x v="1"/>
    <s v="Warning"/>
  </r>
  <r>
    <s v="ORD-2025-10138"/>
    <d v="2025-01-09T00:00:00"/>
    <d v="2025-01-09T00:00:00"/>
    <n v="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s v="Paid"/>
    <x v="0"/>
    <n v="0.1"/>
    <n v="19202.904000000002"/>
    <n v="3676.2840000000015"/>
    <n v="0.19144416906942829"/>
    <x v="9"/>
    <x v="1"/>
    <s v="Clean"/>
  </r>
  <r>
    <s v="ORD-2024-10139"/>
    <d v="2024-01-20T00:00:00"/>
    <d v="2024-01-26T00:00:00"/>
    <n v="6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s v="Paid"/>
    <x v="0"/>
    <n v="0.25"/>
    <n v="24018.300000000003"/>
    <n v="9947.5200000000023"/>
    <n v="0.41416419979765434"/>
    <x v="9"/>
    <x v="0"/>
    <s v="Clean"/>
  </r>
  <r>
    <s v="ORD-2025-10140"/>
    <d v="2025-03-02T00:00:00"/>
    <d v="2025-07-03T00:00:00"/>
    <n v="123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x v="0"/>
    <n v="0"/>
    <n v="10301.040000000001"/>
    <n v="3736.9800000000005"/>
    <n v="0.3627769623261341"/>
    <x v="10"/>
    <x v="1"/>
    <s v="Clean"/>
  </r>
  <r>
    <s v="ORD-2024-10141"/>
    <d v="2024-05-31T00:00:00"/>
    <d v="2024-06-01T00:00:00"/>
    <n v="1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s v="Paid"/>
    <x v="0"/>
    <n v="0"/>
    <n v="8743.6500000000015"/>
    <n v="2139.8900000000012"/>
    <n v="0.24473646589239059"/>
    <x v="4"/>
    <x v="0"/>
    <s v="Clean"/>
  </r>
  <r>
    <s v="ORD-2024-10142"/>
    <d v="2024-03-23T00:00:00"/>
    <d v="2024-03-29T00:00:00"/>
    <n v="6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s v="Paid"/>
    <x v="2"/>
    <n v="0.1"/>
    <n v="3996.027"/>
    <n v="1136.5169999999998"/>
    <n v="0.28441174196270441"/>
    <x v="10"/>
    <x v="0"/>
    <s v="Clean"/>
  </r>
  <r>
    <s v="ORD-2024-10143"/>
    <d v="2024-03-30T00:00:00"/>
    <d v="2024-03-26T00:00:00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s v="Paid"/>
    <x v="0"/>
    <n v="0.15"/>
    <n v="3857.0449999999996"/>
    <n v="1087.7849999999994"/>
    <n v="0.28202548842442843"/>
    <x v="10"/>
    <x v="0"/>
    <s v="Warning"/>
  </r>
  <r>
    <s v="ORD-2024-10144"/>
    <d v="2024-03-24T00:00:00"/>
    <d v="2024-03-26T00:00:00"/>
    <n v="2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s v="Paid"/>
    <x v="2"/>
    <n v="0.1"/>
    <n v="3068.55"/>
    <n v="1152.3900000000001"/>
    <n v="0.3755487119323459"/>
    <x v="10"/>
    <x v="0"/>
    <s v="Clean"/>
  </r>
  <r>
    <s v="ORD-2024-10145"/>
    <d v="2024-07-06T00:00:00"/>
    <d v="2024-06-15T00:00:00"/>
    <n v="-21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x v="2"/>
    <n v="0.25"/>
    <n v="11276.947499999998"/>
    <n v="4368.1874999999982"/>
    <n v="0.38735548782150481"/>
    <x v="0"/>
    <x v="0"/>
    <s v="Warning"/>
  </r>
  <r>
    <s v="ORD-2025-10146"/>
    <d v="2025-11-04T00:00:00"/>
    <d v="2025-04-13T00:00:00"/>
    <n v="-205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s v="Paid"/>
    <x v="0"/>
    <n v="0.1"/>
    <n v="15055.74"/>
    <n v="5246.91"/>
    <n v="0.34849897779850075"/>
    <x v="3"/>
    <x v="1"/>
    <s v="Warning"/>
  </r>
  <r>
    <s v="ORD-2025-10147"/>
    <d v="2025-07-30T00:00:00"/>
    <d v="2025-08-01T00:00:00"/>
    <n v="2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s v="Paid"/>
    <x v="0"/>
    <n v="0.1"/>
    <n v="25639.983"/>
    <n v="4004.9029999999984"/>
    <n v="0.1561975684617263"/>
    <x v="0"/>
    <x v="1"/>
    <s v="Clean"/>
  </r>
  <r>
    <s v="ORD-2024-10148"/>
    <d v="2024-12-23T00:00:00"/>
    <d v="2024-12-30T00:00:00"/>
    <n v="7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s v="Paid"/>
    <x v="0"/>
    <n v="0.1"/>
    <n v="2779.92"/>
    <n v="1035.8700000000001"/>
    <n v="0.37262583095916435"/>
    <x v="7"/>
    <x v="0"/>
    <s v="Clean"/>
  </r>
  <r>
    <s v="ORD-2025-10149"/>
    <d v="2025-02-09T00:00:00"/>
    <d v="2025-02-13T00:00:00"/>
    <n v="4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x v="0"/>
    <n v="0.25"/>
    <n v="10176.42"/>
    <n v="2571.9499999999998"/>
    <n v="0.252736227474888"/>
    <x v="6"/>
    <x v="1"/>
    <s v="Clean"/>
  </r>
  <r>
    <s v="ORD-2024-10150"/>
    <d v="2024-01-30T00:00:00"/>
    <d v="2024-01-30T00:00:00"/>
    <n v="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s v="Paid"/>
    <x v="0"/>
    <n v="0.25"/>
    <n v="13269.952499999999"/>
    <n v="4292.8524999999991"/>
    <n v="0.32350172315989822"/>
    <x v="9"/>
    <x v="0"/>
    <s v="Clean"/>
  </r>
  <r>
    <s v="ORD-2024-10151"/>
    <d v="2024-04-03T00:00:00"/>
    <d v="2024-03-12T00:00:00"/>
    <n v="-22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s v="Paid"/>
    <x v="0"/>
    <n v="0.1"/>
    <n v="1398.7079999999999"/>
    <n v="341.78799999999978"/>
    <n v="0.24435979489643286"/>
    <x v="5"/>
    <x v="0"/>
    <s v="Warning"/>
  </r>
  <r>
    <s v="ORD-2024-10152"/>
    <d v="2024-06-27T00:00:00"/>
    <d v="2024-06-27T00:00:00"/>
    <n v="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s v="Pending"/>
    <x v="2"/>
    <n v="0"/>
    <n v="7718.22"/>
    <n v="2362.29"/>
    <n v="0.30606668376905555"/>
    <x v="2"/>
    <x v="0"/>
    <s v="Clean"/>
  </r>
  <r>
    <s v="ORD-2024-10153"/>
    <d v="2024-06-14T00:00:00"/>
    <d v="2024-06-17T00:00:00"/>
    <n v="3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s v="Pending"/>
    <x v="2"/>
    <n v="0.1"/>
    <n v="5875.4160000000002"/>
    <n v="1494.866"/>
    <n v="0.25442726098032886"/>
    <x v="2"/>
    <x v="0"/>
    <s v="Clean"/>
  </r>
  <r>
    <s v="ORD-2025-10154"/>
    <d v="2025-09-23T00:00:00"/>
    <d v="2025-09-25T00:00:00"/>
    <n v="2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s v="Refunded"/>
    <x v="2"/>
    <n v="0"/>
    <n v="22962.17"/>
    <n v="7245.6699999999983"/>
    <n v="0.31554813852523517"/>
    <x v="11"/>
    <x v="1"/>
    <s v="Clean"/>
  </r>
  <r>
    <s v="ORD-2024-10155"/>
    <d v="2024-02-12T00:00:00"/>
    <d v="2024-02-11T00:00:00"/>
    <n v="-1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s v="Paid"/>
    <x v="0"/>
    <n v="0.15"/>
    <n v="2209.252"/>
    <n v="685.47199999999998"/>
    <n v="0.31027334138432372"/>
    <x v="6"/>
    <x v="0"/>
    <s v="Warning"/>
  </r>
  <r>
    <s v="ORD-2025-10156"/>
    <d v="2025-01-26T00:00:00"/>
    <d v="2025-02-03T00:00:00"/>
    <n v="8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s v="Refunded"/>
    <x v="2"/>
    <n v="0.1"/>
    <n v="7720.1640000000007"/>
    <n v="1839.1640000000007"/>
    <n v="0.23822861794127695"/>
    <x v="9"/>
    <x v="1"/>
    <s v="Clean"/>
  </r>
  <r>
    <s v="ORD-2025-10157"/>
    <d v="2025-03-27T00:00:00"/>
    <d v="2025-03-27T00:00:00"/>
    <n v="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s v="Paid"/>
    <x v="0"/>
    <n v="0.25"/>
    <n v="12103.192500000001"/>
    <n v="5385.3225000000011"/>
    <n v="0.44495057812225997"/>
    <x v="10"/>
    <x v="1"/>
    <s v="Clean"/>
  </r>
  <r>
    <s v="ORD-2024-10158"/>
    <d v="2024-10-22T00:00:00"/>
    <d v="2024-10-24T00:00:00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s v="Paid"/>
    <x v="0"/>
    <n v="0.15"/>
    <n v="2335.3919999999998"/>
    <n v="869.24199999999973"/>
    <n v="0.3722038955344541"/>
    <x v="8"/>
    <x v="0"/>
    <s v="Clean"/>
  </r>
  <r>
    <s v="ORD-2024-10159"/>
    <d v="2024-09-09T00:00:00"/>
    <d v="2024-09-11T00:00:00"/>
    <n v="2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s v="Paid"/>
    <x v="0"/>
    <n v="0.05"/>
    <n v="3989.5629999999996"/>
    <n v="1608.1829999999995"/>
    <n v="0.40309753223598666"/>
    <x v="11"/>
    <x v="0"/>
    <s v="Clean"/>
  </r>
  <r>
    <s v="ORD-2025-10160"/>
    <d v="2025-01-30T00:00:00"/>
    <d v="2025-04-02T00:00:00"/>
    <n v="62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s v="Pending"/>
    <x v="1"/>
    <n v="0.15"/>
    <n v="33893.324999999997"/>
    <n v="8142.9749999999985"/>
    <n v="0.24025305867748292"/>
    <x v="9"/>
    <x v="1"/>
    <s v="Clean"/>
  </r>
  <r>
    <s v="ORD-2025-10161"/>
    <d v="2025-08-10T00:00:00"/>
    <d v="2025-10-06T00:00:00"/>
    <n v="57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s v="Pending"/>
    <x v="1"/>
    <n v="0.05"/>
    <n v="4789.5960000000005"/>
    <n v="751.95600000000059"/>
    <n v="0.1569977927157114"/>
    <x v="1"/>
    <x v="1"/>
    <s v="Clean"/>
  </r>
  <r>
    <s v="ORD-2025-10162"/>
    <d v="2025-07-24T00:00:00"/>
    <d v="2025-07-30T00:00:00"/>
    <n v="6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s v="Pending"/>
    <x v="1"/>
    <n v="0"/>
    <n v="1643.41"/>
    <n v="736.0100000000001"/>
    <n v="0.44785537388722235"/>
    <x v="0"/>
    <x v="1"/>
    <s v="Clean"/>
  </r>
  <r>
    <s v="ORD-2024-10163"/>
    <d v="2024-03-09T00:00:00"/>
    <d v="2024-03-14T00:00:00"/>
    <n v="5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s v="Pending"/>
    <x v="2"/>
    <n v="0"/>
    <n v="35782.720000000001"/>
    <n v="9358.3100000000013"/>
    <n v="0.2615315437171909"/>
    <x v="10"/>
    <x v="0"/>
    <s v="Clean"/>
  </r>
  <r>
    <s v="ORD-2025-10164"/>
    <d v="2025-09-21T00:00:00"/>
    <d v="2025-09-26T00:00:00"/>
    <n v="5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s v="Pending"/>
    <x v="2"/>
    <n v="0.1"/>
    <n v="15679.332"/>
    <n v="3201.5120000000006"/>
    <n v="0.20418675999717339"/>
    <x v="11"/>
    <x v="1"/>
    <s v="Clean"/>
  </r>
  <r>
    <s v="ORD-2025-10165"/>
    <d v="2025-09-09T00:00:00"/>
    <d v="2025-09-14T00:00:00"/>
    <n v="5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s v="Paid"/>
    <x v="0"/>
    <n v="0.25"/>
    <n v="2365.8150000000001"/>
    <n v="817.82500000000005"/>
    <n v="0.34568425679945392"/>
    <x v="11"/>
    <x v="1"/>
    <s v="Clean"/>
  </r>
  <r>
    <s v="ORD-2024-10166"/>
    <d v="2024-11-22T00:00:00"/>
    <d v="2024-11-29T00:00:00"/>
    <n v="7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s v="Paid"/>
    <x v="0"/>
    <n v="0.25"/>
    <n v="10268.969999999999"/>
    <n v="3798.0499999999993"/>
    <n v="0.36985695741637181"/>
    <x v="3"/>
    <x v="0"/>
    <s v="Clean"/>
  </r>
  <r>
    <s v="ORD-2025-10167"/>
    <d v="2025-02-20T00:00:00"/>
    <d v="2025-02-26T00:00:00"/>
    <n v="6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s v="Paid"/>
    <x v="0"/>
    <n v="0.2"/>
    <n v="2046.28"/>
    <n v="596.74"/>
    <n v="0.29162186992982386"/>
    <x v="6"/>
    <x v="1"/>
    <s v="Clean"/>
  </r>
  <r>
    <s v="ORD-2025-10168"/>
    <d v="2025-08-18T00:00:00"/>
    <d v="2025-08-18T00:00:00"/>
    <n v="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s v="Paid"/>
    <x v="2"/>
    <n v="0.15"/>
    <n v="23186.6145"/>
    <n v="5280.0744999999988"/>
    <n v="0.22772080417345961"/>
    <x v="1"/>
    <x v="1"/>
    <s v="Clean"/>
  </r>
  <r>
    <s v="ORD-2025-10169"/>
    <d v="2025-01-20T00:00:00"/>
    <d v="2025-01-23T00:00:00"/>
    <n v="3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s v="Paid"/>
    <x v="1"/>
    <n v="0.2"/>
    <n v="2557.08"/>
    <n v="531.38999999999987"/>
    <n v="0.2078112534609789"/>
    <x v="9"/>
    <x v="1"/>
    <s v="Clean"/>
  </r>
  <r>
    <s v="ORD-2025-10170"/>
    <d v="2025-09-13T00:00:00"/>
    <d v="2025-09-13T00:00:00"/>
    <n v="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s v="Pending"/>
    <x v="2"/>
    <n v="0.05"/>
    <n v="5577.6399999999994"/>
    <n v="2036.3499999999995"/>
    <n v="0.36509168752375548"/>
    <x v="11"/>
    <x v="1"/>
    <s v="Clean"/>
  </r>
  <r>
    <s v="ORD-2025-10171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s v="Paid"/>
    <x v="0"/>
    <n v="0"/>
    <n v="5133.96"/>
    <n v="1203.96"/>
    <n v="0.23450903396208775"/>
    <x v="0"/>
    <x v="1"/>
    <s v="Clean"/>
  </r>
  <r>
    <s v="ORD-2025-10172"/>
    <d v="2025-02-23T00:00:00"/>
    <d v="2025-02-25T00:00:00"/>
    <n v="2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s v="Paid"/>
    <x v="0"/>
    <n v="0.25"/>
    <n v="15923.512500000001"/>
    <n v="4631.7125000000015"/>
    <n v="0.29087253832971849"/>
    <x v="6"/>
    <x v="1"/>
    <s v="Clean"/>
  </r>
  <r>
    <s v="ORD-2025-10173"/>
    <d v="2025-02-08T00:00:00"/>
    <d v="2025-10-08T00:00:00"/>
    <n v="242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s v="Refunded"/>
    <x v="2"/>
    <n v="0.1"/>
    <n v="23997.221999999998"/>
    <n v="7862.5919999999987"/>
    <n v="0.32764592501582057"/>
    <x v="6"/>
    <x v="1"/>
    <s v="Clean"/>
  </r>
  <r>
    <s v="ORD-2024-10174"/>
    <d v="2024-02-05T00:00:00"/>
    <d v="2024-05-08T00:00:00"/>
    <n v="93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s v="Paid"/>
    <x v="0"/>
    <n v="0.25"/>
    <n v="1734.1875"/>
    <n v="348.11750000000006"/>
    <n v="0.20073809781237614"/>
    <x v="6"/>
    <x v="0"/>
    <s v="Clean"/>
  </r>
  <r>
    <s v="ORD-2025-10175"/>
    <d v="2025-09-28T00:00:00"/>
    <d v="2025-04-10T00:00:00"/>
    <n v="-171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x v="2"/>
    <n v="0.15"/>
    <n v="8264.7029999999995"/>
    <n v="3495.9529999999995"/>
    <n v="0.42299801940856191"/>
    <x v="11"/>
    <x v="1"/>
    <s v="Warning"/>
  </r>
  <r>
    <s v="ORD-2024-10176"/>
    <d v="2024-01-27T00:00:00"/>
    <d v="2024-02-03T00:00:00"/>
    <n v="7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s v="Paid"/>
    <x v="2"/>
    <n v="0.15"/>
    <n v="15906.849000000002"/>
    <n v="4892.3890000000029"/>
    <n v="0.30756493633654297"/>
    <x v="9"/>
    <x v="0"/>
    <s v="Clean"/>
  </r>
  <r>
    <s v="ORD-2025-10177"/>
    <d v="2025-03-18T00:00:00"/>
    <d v="2025-03-26T00:00:00"/>
    <n v="8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s v="Paid"/>
    <x v="0"/>
    <n v="0.15"/>
    <n v="24229.011999999999"/>
    <n v="10318.371999999999"/>
    <n v="0.42586845885420338"/>
    <x v="10"/>
    <x v="1"/>
    <s v="Clean"/>
  </r>
  <r>
    <s v="ORD-2024-10178"/>
    <d v="2024-01-06T00:00:00"/>
    <d v="2024-06-03T00:00:00"/>
    <n v="149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s v="Paid"/>
    <x v="0"/>
    <n v="0"/>
    <n v="31039.599999999999"/>
    <n v="10172.879999999997"/>
    <n v="0.32773875952009685"/>
    <x v="9"/>
    <x v="0"/>
    <s v="Clean"/>
  </r>
  <r>
    <s v="ORD-2024-10179"/>
    <d v="2024-09-30T00:00:00"/>
    <d v="2024-09-30T00:00:00"/>
    <n v="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s v="Paid"/>
    <x v="0"/>
    <n v="0"/>
    <n v="13126.96"/>
    <n v="2394.5199999999986"/>
    <n v="0.18241237879905162"/>
    <x v="11"/>
    <x v="0"/>
    <s v="Clean"/>
  </r>
  <r>
    <s v="ORD-2024-10180"/>
    <d v="2024-03-15T00:00:00"/>
    <d v="2024-03-19T00:00:00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s v="Refunded"/>
    <x v="2"/>
    <n v="0.25"/>
    <n v="9558.9000000000015"/>
    <n v="4042.1400000000012"/>
    <n v="0.42286664783604816"/>
    <x v="10"/>
    <x v="0"/>
    <s v="Clean"/>
  </r>
  <r>
    <s v="ORD-2024-10181"/>
    <d v="2024-08-26T00:00:00"/>
    <d v="2024-08-26T00:00:00"/>
    <n v="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s v="Paid"/>
    <x v="0"/>
    <n v="0.1"/>
    <n v="5320.9170000000004"/>
    <n v="2279.4170000000004"/>
    <n v="0.42838800154183954"/>
    <x v="1"/>
    <x v="0"/>
    <s v="Clean"/>
  </r>
  <r>
    <s v="ORD-2025-10182"/>
    <d v="2025-09-09T00:00:00"/>
    <d v="2025-10-09T00:00:00"/>
    <n v="3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s v="Paid"/>
    <x v="0"/>
    <n v="0"/>
    <n v="10205.799999999999"/>
    <n v="4219.4899999999989"/>
    <n v="0.41344039663720622"/>
    <x v="11"/>
    <x v="1"/>
    <s v="Clean"/>
  </r>
  <r>
    <s v="ORD-2024-10183"/>
    <d v="2024-10-16T00:00:00"/>
    <d v="2024-10-16T00:00:00"/>
    <n v="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s v="Paid"/>
    <x v="0"/>
    <n v="0"/>
    <n v="5430.3899999999994"/>
    <n v="1722.7299999999996"/>
    <n v="0.31723872502711586"/>
    <x v="8"/>
    <x v="0"/>
    <s v="Clean"/>
  </r>
  <r>
    <s v="ORD-2025-10184"/>
    <d v="2025-06-24T00:00:00"/>
    <d v="2025-06-27T00:00:00"/>
    <n v="3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s v="Paid"/>
    <x v="2"/>
    <n v="0.2"/>
    <n v="12907.216"/>
    <n v="4579.3260000000009"/>
    <n v="0.3547880503433119"/>
    <x v="2"/>
    <x v="1"/>
    <s v="Clean"/>
  </r>
  <r>
    <s v="ORD-2024-10185"/>
    <d v="2024-04-02T00:00:00"/>
    <d v="2024-04-06T00:00:00"/>
    <n v="4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s v="Refunded"/>
    <x v="2"/>
    <n v="0"/>
    <n v="1777.96"/>
    <n v="756.80000000000007"/>
    <n v="0.42565637022205227"/>
    <x v="5"/>
    <x v="0"/>
    <s v="Clean"/>
  </r>
  <r>
    <s v="ORD-2024-10186"/>
    <d v="2024-11-05T00:00:00"/>
    <d v="2024-11-13T00:00:00"/>
    <n v="8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s v="Paid"/>
    <x v="0"/>
    <n v="0.2"/>
    <n v="1605.0720000000001"/>
    <n v="267.79200000000014"/>
    <n v="0.16684111366966722"/>
    <x v="3"/>
    <x v="0"/>
    <s v="Clean"/>
  </r>
  <r>
    <s v="ORD-2024-10187"/>
    <d v="2024-07-19T00:00:00"/>
    <d v="2024-07-20T00:00:00"/>
    <n v="1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s v="Paid"/>
    <x v="0"/>
    <n v="0.05"/>
    <n v="23996.059499999996"/>
    <n v="3828.7794999999969"/>
    <n v="0.15955867670689838"/>
    <x v="0"/>
    <x v="0"/>
    <s v="Clean"/>
  </r>
  <r>
    <s v="ORD-2025-10188"/>
    <d v="2025-05-01T00:00:00"/>
    <d v="2025-05-02T00:00:00"/>
    <n v="1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x v="2"/>
    <n v="0"/>
    <n v="8717.2199999999993"/>
    <n v="2501.2599999999993"/>
    <n v="0.28693321953558582"/>
    <x v="4"/>
    <x v="1"/>
    <s v="Clean"/>
  </r>
  <r>
    <s v="ORD-2025-10189"/>
    <d v="2025-05-21T00:00:00"/>
    <d v="2025-05-28T00:00:00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s v="Paid"/>
    <x v="0"/>
    <n v="0.1"/>
    <n v="6407.2260000000006"/>
    <n v="1484.1360000000004"/>
    <n v="0.23163471992403581"/>
    <x v="4"/>
    <x v="1"/>
    <s v="Clean"/>
  </r>
  <r>
    <s v="ORD-2025-10190"/>
    <d v="2025-05-06T00:00:00"/>
    <d v="2025-05-07T00:00:00"/>
    <n v="1"/>
    <s v="CUST-3375"/>
    <s v="Arjun Bose"/>
    <x v="0"/>
    <x v="3"/>
    <s v="Rajasthan"/>
    <s v="Udaipur"/>
    <x v="1"/>
    <x v="10"/>
    <s v="Basic Bookcases 754"/>
    <x v="2"/>
    <n v="9"/>
    <n v="3318.24"/>
    <n v="0"/>
    <n v="25384.54"/>
    <n v="16872.39"/>
    <n v="8512.15"/>
    <s v="Paid"/>
    <x v="0"/>
    <n v="0"/>
    <n v="29864.159999999996"/>
    <n v="12991.769999999997"/>
    <n v="0.43502881045373448"/>
    <x v="4"/>
    <x v="1"/>
    <s v="Clean"/>
  </r>
  <r>
    <s v="ORD-2025-10191"/>
    <d v="2025-04-20T00:00:00"/>
    <d v="2025-04-21T00:00:00"/>
    <n v="1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s v="Paid"/>
    <x v="0"/>
    <n v="0.1"/>
    <n v="1458.2429999999999"/>
    <n v="514.92299999999989"/>
    <n v="0.35311192990468659"/>
    <x v="5"/>
    <x v="1"/>
    <s v="Clean"/>
  </r>
  <r>
    <s v="ORD-2024-10192"/>
    <d v="2024-10-19T00:00:00"/>
    <d v="2024-10-24T00:00:00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x v="0"/>
    <n v="0.65"/>
    <n v="9047.64"/>
    <n v="-10350.040000000001"/>
    <n v="-1.1439491403283069"/>
    <x v="8"/>
    <x v="0"/>
    <s v="Clean"/>
  </r>
  <r>
    <s v="ORD-2024-10193"/>
    <d v="2024-12-09T00:00:00"/>
    <d v="2024-12-16T00:00:00"/>
    <n v="7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x v="0"/>
    <n v="0"/>
    <n v="8764.1200000000008"/>
    <n v="1544.0700000000006"/>
    <n v="0.17618083732308554"/>
    <x v="7"/>
    <x v="0"/>
    <s v="Clean"/>
  </r>
  <r>
    <s v="ORD-2024-10194"/>
    <d v="2024-06-23T00:00:00"/>
    <d v="2024-06-28T00:00:00"/>
    <n v="5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s v="Refunded"/>
    <x v="2"/>
    <n v="0.2"/>
    <n v="9391.8240000000005"/>
    <n v="3378.6040000000003"/>
    <n v="0.35973885370935399"/>
    <x v="2"/>
    <x v="0"/>
    <s v="Clean"/>
  </r>
  <r>
    <s v="ORD-2025-10195"/>
    <d v="2025-01-28T00:00:00"/>
    <d v="2025-01-31T00:00:00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s v="Pending"/>
    <x v="2"/>
    <n v="0.05"/>
    <n v="7339.2344999999996"/>
    <n v="1905.1144999999997"/>
    <n v="0.25957945614082772"/>
    <x v="9"/>
    <x v="1"/>
    <s v="Clean"/>
  </r>
  <r>
    <s v="ORD-2025-10196"/>
    <d v="2025-07-22T00:00:00"/>
    <d v="2025-07-24T00:00:00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s v="Paid"/>
    <x v="0"/>
    <n v="0"/>
    <n v="9614.15"/>
    <n v="2037.3099999999995"/>
    <n v="0.21190744891644084"/>
    <x v="0"/>
    <x v="1"/>
    <s v="Clean"/>
  </r>
  <r>
    <s v="ORD-2024-10197"/>
    <d v="2024-01-22T00:00:00"/>
    <d v="2024-01-25T00:00:00"/>
    <n v="3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s v="Paid"/>
    <x v="0"/>
    <n v="0.1"/>
    <n v="3272.4810000000002"/>
    <n v="755.04100000000017"/>
    <n v="0.23072433422837293"/>
    <x v="9"/>
    <x v="0"/>
    <s v="Clean"/>
  </r>
  <r>
    <s v="ORD-2025-10198"/>
    <d v="2025-03-31T00:00:00"/>
    <d v="2025-07-04T00:00:00"/>
    <n v="95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s v="Paid"/>
    <x v="0"/>
    <n v="0.15"/>
    <n v="17409.869999999995"/>
    <n v="3333.6199999999953"/>
    <n v="0.19147874165631312"/>
    <x v="10"/>
    <x v="1"/>
    <s v="Clean"/>
  </r>
  <r>
    <s v="ORD-2024-10199"/>
    <d v="2024-05-06T00:00:00"/>
    <d v="2024-06-06T00:00:00"/>
    <n v="31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s v="Failed"/>
    <x v="1"/>
    <n v="0.05"/>
    <n v="1125.3509999999999"/>
    <n v="448.38099999999986"/>
    <n v="0.39843657667696558"/>
    <x v="4"/>
    <x v="0"/>
    <s v="Clean"/>
  </r>
  <r>
    <s v="ORD-2024-10200"/>
    <d v="2024-03-12T00:00:00"/>
    <d v="2024-12-03T00:00:00"/>
    <n v="266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s v="Paid"/>
    <x v="0"/>
    <n v="0.25"/>
    <n v="9835.11"/>
    <n v="4397.47"/>
    <n v="0.44711955433136996"/>
    <x v="10"/>
    <x v="0"/>
    <s v="Clean"/>
  </r>
  <r>
    <s v="ORD-2025-10201"/>
    <d v="2025-06-27T00:00:00"/>
    <d v="2025-07-05T00:00:00"/>
    <n v="8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s v="Pending"/>
    <x v="1"/>
    <n v="0.1"/>
    <n v="12907.980000000001"/>
    <n v="3710.9000000000015"/>
    <n v="0.28748882474252369"/>
    <x v="2"/>
    <x v="1"/>
    <s v="Clean"/>
  </r>
  <r>
    <s v="ORD-2025-10202"/>
    <d v="2025-07-26T00:00:00"/>
    <d v="2025-08-03T00:00:00"/>
    <n v="8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x v="1"/>
    <n v="-0.16"/>
    <n v="5808.1895999999997"/>
    <n v="2853.3295999999996"/>
    <n v="0.49125972058487893"/>
    <x v="0"/>
    <x v="1"/>
    <s v="Invalid"/>
  </r>
  <r>
    <s v="ORD-2025-10203"/>
    <d v="2025-03-28T00:00:00"/>
    <d v="2025-03-28T00:00:00"/>
    <n v="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s v="Paid"/>
    <x v="0"/>
    <n v="0.05"/>
    <n v="13231.144"/>
    <n v="1941.0840000000007"/>
    <n v="0.14670568168557463"/>
    <x v="10"/>
    <x v="1"/>
    <s v="Clean"/>
  </r>
  <r>
    <s v="ORD-2024-10204"/>
    <d v="2024-03-28T00:00:00"/>
    <d v="2024-03-30T00:00:00"/>
    <n v="2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s v="Paid"/>
    <x v="0"/>
    <n v="0.15"/>
    <n v="484.78899999999999"/>
    <n v="151.24899999999997"/>
    <n v="0.3119893396921134"/>
    <x v="10"/>
    <x v="0"/>
    <s v="Clean"/>
  </r>
  <r>
    <s v="ORD-2025-10205"/>
    <d v="2025-07-20T00:00:00"/>
    <d v="2025-07-23T00:00:00"/>
    <n v="3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s v="Paid"/>
    <x v="0"/>
    <n v="0.15"/>
    <n v="1624.146"/>
    <n v="406.15599999999995"/>
    <n v="0.25007357712914968"/>
    <x v="0"/>
    <x v="1"/>
    <s v="Clean"/>
  </r>
  <r>
    <s v="ORD-2025-10206"/>
    <d v="2025-04-21T00:00:00"/>
    <d v="2025-04-26T00:00:00"/>
    <n v="5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s v="Paid"/>
    <x v="0"/>
    <n v="0.2"/>
    <n v="4193.232"/>
    <n v="863.24200000000019"/>
    <n v="0.2058655471483572"/>
    <x v="5"/>
    <x v="1"/>
    <s v="Clean"/>
  </r>
  <r>
    <s v="ORD-2025-10207"/>
    <d v="2025-05-18T00:00:00"/>
    <d v="2025-05-20T00:00:00"/>
    <n v="2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s v="Paid"/>
    <x v="0"/>
    <n v="0"/>
    <n v="430.26"/>
    <n v="143.88"/>
    <n v="0.33440245432994004"/>
    <x v="4"/>
    <x v="1"/>
    <s v="Clean"/>
  </r>
  <r>
    <s v="ORD-2024-10208"/>
    <d v="2024-07-10T00:00:00"/>
    <d v="2024-07-16T00:00:00"/>
    <n v="6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s v="Paid"/>
    <x v="0"/>
    <n v="0.2"/>
    <n v="1752.7200000000003"/>
    <n v="756.31000000000029"/>
    <n v="0.43150645853302305"/>
    <x v="0"/>
    <x v="0"/>
    <s v="Clean"/>
  </r>
  <r>
    <s v="ORD-2025-10209"/>
    <d v="2025-06-29T00:00:00"/>
    <d v="2025-05-07T00:00:00"/>
    <n v="-53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s v="Paid"/>
    <x v="0"/>
    <n v="0"/>
    <n v="999.83"/>
    <n v="364.92000000000007"/>
    <n v="0.3649820469479812"/>
    <x v="2"/>
    <x v="1"/>
    <s v="Warning"/>
  </r>
  <r>
    <s v="ORD-2025-10210"/>
    <d v="2025-08-13T00:00:00"/>
    <d v="2025-08-14T00:00:00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s v="Paid"/>
    <x v="0"/>
    <n v="0.1"/>
    <n v="7006.3379999999997"/>
    <n v="2365.4579999999996"/>
    <n v="0.33761688345609359"/>
    <x v="1"/>
    <x v="1"/>
    <s v="Clean"/>
  </r>
  <r>
    <s v="ORD-2024-10211"/>
    <d v="2024-03-15T00:00:00"/>
    <d v="2024-03-18T00:00:00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x v="2"/>
    <n v="0"/>
    <n v="4131.3599999999997"/>
    <n v="1194.2899999999995"/>
    <n v="0.28907914100925591"/>
    <x v="10"/>
    <x v="0"/>
    <s v="Clean"/>
  </r>
  <r>
    <s v="ORD-2024-10212"/>
    <d v="2024-05-16T00:00:00"/>
    <d v="2024-05-17T00:00:00"/>
    <n v="1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s v="Paid"/>
    <x v="0"/>
    <n v="0.2"/>
    <n v="27020.48"/>
    <n v="4135.239999999998"/>
    <n v="0.15304095264036752"/>
    <x v="4"/>
    <x v="0"/>
    <s v="Clean"/>
  </r>
  <r>
    <s v="ORD-2024-10213"/>
    <d v="2024-09-21T00:00:00"/>
    <d v="2024-09-21T00:00:00"/>
    <n v="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s v="Paid"/>
    <x v="0"/>
    <n v="0.15"/>
    <n v="364.65"/>
    <n v="83.909999999999968"/>
    <n v="0.23011106540518297"/>
    <x v="11"/>
    <x v="0"/>
    <s v="Clean"/>
  </r>
  <r>
    <s v="ORD-2024-10214"/>
    <d v="2024-05-15T00:00:00"/>
    <d v="2024-05-21T00:00:00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x v="0"/>
    <n v="0.2"/>
    <n v="13864.735999999999"/>
    <n v="2570.6759999999995"/>
    <n v="0.18541110339208763"/>
    <x v="4"/>
    <x v="0"/>
    <s v="Clean"/>
  </r>
  <r>
    <s v="ORD-2024-10215"/>
    <d v="2024-03-17T00:00:00"/>
    <d v="2024-03-23T00:00:00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s v="Paid"/>
    <x v="0"/>
    <n v="0.05"/>
    <n v="707.31299999999999"/>
    <n v="138.31299999999999"/>
    <n v="0.19554709159876885"/>
    <x v="10"/>
    <x v="0"/>
    <s v="Clean"/>
  </r>
  <r>
    <s v="ORD-2024-10216"/>
    <d v="2024-01-03T00:00:00"/>
    <d v="2024-03-04T00:00:00"/>
    <n v="61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s v="Paid"/>
    <x v="0"/>
    <n v="0.25"/>
    <n v="19214.400000000001"/>
    <n v="8298.3900000000012"/>
    <n v="0.43188389957531853"/>
    <x v="9"/>
    <x v="0"/>
    <s v="Clean"/>
  </r>
  <r>
    <s v="ORD-2025-10217"/>
    <d v="2025-04-10T00:00:00"/>
    <d v="2025-04-15T00:00:00"/>
    <n v="5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s v="Failed"/>
    <x v="2"/>
    <n v="0.25"/>
    <n v="11039.22"/>
    <n v="3396.3099999999995"/>
    <n v="0.30765851210502188"/>
    <x v="5"/>
    <x v="1"/>
    <s v="Clean"/>
  </r>
  <r>
    <s v="ORD-2025-10218"/>
    <d v="2025-01-04T00:00:00"/>
    <d v="2025-04-08T00:00:00"/>
    <n v="94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s v="Refunded"/>
    <x v="1"/>
    <n v="0.1"/>
    <n v="4595.76"/>
    <n v="1198.96"/>
    <n v="0.26088394520166414"/>
    <x v="9"/>
    <x v="1"/>
    <s v="Clean"/>
  </r>
  <r>
    <s v="ORD-2025-10219"/>
    <d v="2025-02-26T00:00:00"/>
    <d v="2025-02-27T00:00:00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x v="0"/>
    <n v="0"/>
    <n v="1291.3999999999999"/>
    <n v="534.46999999999991"/>
    <n v="0.41386866966083319"/>
    <x v="6"/>
    <x v="1"/>
    <s v="Clean"/>
  </r>
  <r>
    <s v="ORD-2024-10220"/>
    <d v="2024-06-18T00:00:00"/>
    <d v="2024-06-19T00:00:00"/>
    <n v="1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s v="Paid"/>
    <x v="0"/>
    <n v="0.85"/>
    <n v="36.447000000000003"/>
    <n v="-124.97299999999998"/>
    <n v="-3.4288967541910162"/>
    <x v="2"/>
    <x v="0"/>
    <s v="Clean"/>
  </r>
  <r>
    <s v="ORD-2024-10221"/>
    <d v="2024-09-03T00:00:00"/>
    <d v="2024-09-03T00:00:00"/>
    <n v="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s v="Refunded"/>
    <x v="1"/>
    <n v="0.15"/>
    <n v="9554.5779999999995"/>
    <n v="3486.1079999999993"/>
    <n v="0.36486258210462036"/>
    <x v="11"/>
    <x v="0"/>
    <s v="Clean"/>
  </r>
  <r>
    <s v="ORD-2025-10222"/>
    <d v="2025-12-01T00:00:00"/>
    <d v="2025-01-15T00:00:00"/>
    <n v="-32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s v="Paid"/>
    <x v="0"/>
    <n v="0.2"/>
    <n v="4900.8959999999997"/>
    <n v="1348.2059999999997"/>
    <n v="0.27509377877024932"/>
    <x v="7"/>
    <x v="1"/>
    <s v="Warning"/>
  </r>
  <r>
    <s v="ORD-2025-10223"/>
    <d v="2025-04-29T00:00:00"/>
    <d v="2025-05-02T00:00:00"/>
    <n v="3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s v="Paid"/>
    <x v="0"/>
    <n v="0"/>
    <n v="25848.54"/>
    <n v="8119.4500000000007"/>
    <n v="0.31411638723115504"/>
    <x v="5"/>
    <x v="1"/>
    <s v="Clean"/>
  </r>
  <r>
    <s v="ORD-2025-10224"/>
    <d v="2025-02-19T00:00:00"/>
    <d v="2025-02-26T00:00:00"/>
    <n v="7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s v="Pending"/>
    <x v="2"/>
    <n v="0.2"/>
    <n v="1176.72"/>
    <n v="522.39"/>
    <n v="0.44393738527432181"/>
    <x v="6"/>
    <x v="1"/>
    <s v="Clean"/>
  </r>
  <r>
    <s v="ORD-2025-10225"/>
    <d v="2025-10-02T00:00:00"/>
    <d v="2025-10-08T00:00:00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s v="Paid"/>
    <x v="1"/>
    <n v="0.25"/>
    <n v="11833.92"/>
    <n v="5151"/>
    <n v="0.43527419485681834"/>
    <x v="8"/>
    <x v="1"/>
    <s v="Clean"/>
  </r>
  <r>
    <s v="ORD-2024-10226"/>
    <d v="2024-09-02T00:00:00"/>
    <d v="2024-09-10T00:00:00"/>
    <n v="8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s v="Paid"/>
    <x v="0"/>
    <n v="0.15"/>
    <n v="5265.5969999999998"/>
    <n v="972.48700000000008"/>
    <n v="0.18468694053114967"/>
    <x v="11"/>
    <x v="0"/>
    <s v="Clean"/>
  </r>
  <r>
    <s v="ORD-2025-10227"/>
    <d v="2025-10-04T00:00:00"/>
    <d v="2025-04-15T00:00:00"/>
    <n v="-172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s v="Paid"/>
    <x v="0"/>
    <n v="0.1"/>
    <n v="1987.443"/>
    <n v="877.21299999999997"/>
    <n v="0.44137768982556985"/>
    <x v="8"/>
    <x v="1"/>
    <s v="Warning"/>
  </r>
  <r>
    <s v="ORD-2024-10228"/>
    <d v="2024-07-05T00:00:00"/>
    <d v="2024-07-12T00:00:00"/>
    <n v="7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s v="Paid"/>
    <x v="0"/>
    <n v="0.15"/>
    <n v="1473.2625"/>
    <n v="573.40250000000003"/>
    <n v="0.38920592901808065"/>
    <x v="0"/>
    <x v="0"/>
    <s v="Clean"/>
  </r>
  <r>
    <s v="ORD-2024-10229"/>
    <d v="2024-04-24T00:00:00"/>
    <d v="2024-04-28T00:00:00"/>
    <n v="4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s v="Paid"/>
    <x v="0"/>
    <n v="0.15"/>
    <n v="2715.2145"/>
    <n v="1163.6645000000001"/>
    <n v="0.42857184948003191"/>
    <x v="5"/>
    <x v="0"/>
    <s v="Clean"/>
  </r>
  <r>
    <s v="ORD-2025-10230"/>
    <d v="2025-06-28T00:00:00"/>
    <d v="2025-07-04T00:00:00"/>
    <n v="6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s v="Refunded"/>
    <x v="2"/>
    <n v="0"/>
    <n v="8658.69"/>
    <n v="3122.7500000000009"/>
    <n v="0.36064924370776652"/>
    <x v="2"/>
    <x v="1"/>
    <s v="Clean"/>
  </r>
  <r>
    <s v="ORD-2024-10231"/>
    <d v="2024-05-28T00:00:00"/>
    <d v="2024-03-06T00:00:00"/>
    <n v="-83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x v="0"/>
    <n v="0.1"/>
    <n v="11090.376"/>
    <n v="2249.4259999999995"/>
    <n v="0.20282684734944958"/>
    <x v="4"/>
    <x v="0"/>
    <s v="Warning"/>
  </r>
  <r>
    <s v="ORD-2024-10232"/>
    <d v="2024-05-02T00:00:00"/>
    <d v="2024-05-02T00:00:00"/>
    <n v="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s v="Refunded"/>
    <x v="1"/>
    <n v="0.25"/>
    <n v="11462.744999999999"/>
    <n v="4299.204999999999"/>
    <n v="0.37505894094302888"/>
    <x v="4"/>
    <x v="0"/>
    <s v="Clean"/>
  </r>
  <r>
    <s v="ORD-2025-10233"/>
    <d v="2025-06-04T00:00:00"/>
    <d v="2025-06-10T00:00:00"/>
    <n v="6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x v="0"/>
    <n v="0.25"/>
    <n v="670.11"/>
    <n v="110.53999999999996"/>
    <n v="0.16495799197146732"/>
    <x v="2"/>
    <x v="1"/>
    <s v="Clean"/>
  </r>
  <r>
    <s v="ORD-2024-10234"/>
    <d v="2024-10-14T00:00:00"/>
    <d v="2024-10-14T00:00:00"/>
    <n v="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x v="0"/>
    <n v="0"/>
    <n v="31236.720000000001"/>
    <n v="4859.0200000000004"/>
    <n v="0.15555474454424154"/>
    <x v="8"/>
    <x v="0"/>
    <s v="Clean"/>
  </r>
  <r>
    <s v="ORD-2024-10235"/>
    <d v="2024-09-02T00:00:00"/>
    <d v="2024-09-03T00:00:00"/>
    <n v="1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s v="Paid"/>
    <x v="0"/>
    <n v="0.1"/>
    <n v="10964.241"/>
    <n v="1701.7710000000006"/>
    <n v="0.15521101734265058"/>
    <x v="11"/>
    <x v="0"/>
    <s v="Clean"/>
  </r>
  <r>
    <s v="ORD-2024-10236"/>
    <d v="2024-11-02T00:00:00"/>
    <d v="2024-11-03T00:00:00"/>
    <n v="1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s v="Paid"/>
    <x v="0"/>
    <n v="0.05"/>
    <n v="15226.352999999999"/>
    <n v="4081.0729999999985"/>
    <n v="0.26802695300706603"/>
    <x v="3"/>
    <x v="0"/>
    <s v="Clean"/>
  </r>
  <r>
    <s v="ORD-2024-10237"/>
    <d v="2024-10-14T00:00:00"/>
    <d v="2024-10-21T00:00:00"/>
    <n v="7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s v="Paid"/>
    <x v="0"/>
    <n v="0"/>
    <n v="24376.68"/>
    <n v="5843.2900000000009"/>
    <n v="0.23970819652224998"/>
    <x v="8"/>
    <x v="0"/>
    <s v="Clean"/>
  </r>
  <r>
    <s v="ORD-2024-10238"/>
    <d v="2024-08-27T00:00:00"/>
    <d v="2024-08-27T00:00:00"/>
    <n v="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s v="Paid"/>
    <x v="0"/>
    <n v="0"/>
    <n v="20972.7"/>
    <n v="7467.8200000000015"/>
    <n v="0.35607337157352181"/>
    <x v="1"/>
    <x v="0"/>
    <s v="Clean"/>
  </r>
  <r>
    <s v="ORD-2024-10239"/>
    <d v="2024-01-12T00:00:00"/>
    <d v="2024-01-17T00:00:00"/>
    <n v="5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x v="0"/>
    <n v="0.55000000000000004"/>
    <n v="12615.907499999999"/>
    <n v="-6222.8425000000007"/>
    <n v="-0.4932536561480021"/>
    <x v="9"/>
    <x v="0"/>
    <s v="Clean"/>
  </r>
  <r>
    <s v="ORD-2024-10240"/>
    <d v="2024-09-21T00:00:00"/>
    <d v="2024-09-21T00:00:00"/>
    <n v="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s v="Paid"/>
    <x v="0"/>
    <n v="0.2"/>
    <n v="3136.096"/>
    <n v="856.60600000000022"/>
    <n v="0.273144061916472"/>
    <x v="11"/>
    <x v="0"/>
    <s v="Clean"/>
  </r>
  <r>
    <s v="ORD-2024-10241"/>
    <d v="2024-12-17T00:00:00"/>
    <d v="2024-12-23T00:00:00"/>
    <n v="6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s v="Paid"/>
    <x v="0"/>
    <n v="0"/>
    <n v="20835.899999999998"/>
    <n v="6907.7099999999973"/>
    <n v="0.33152923559817421"/>
    <x v="7"/>
    <x v="0"/>
    <s v="Clean"/>
  </r>
  <r>
    <s v="ORD-2025-10242"/>
    <d v="2025-07-06T00:00:00"/>
    <d v="2025-06-07T00:00:00"/>
    <n v="-29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s v="Pending"/>
    <x v="2"/>
    <n v="0.25"/>
    <n v="1212.9000000000001"/>
    <n v="522.38000000000011"/>
    <n v="0.4306867837414462"/>
    <x v="0"/>
    <x v="1"/>
    <s v="Warning"/>
  </r>
  <r>
    <s v="ORD-2025-10243"/>
    <d v="2025-02-07T00:00:00"/>
    <d v="2025-02-07T00:00:00"/>
    <n v="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s v="Paid"/>
    <x v="0"/>
    <n v="0.05"/>
    <n v="5697.8339999999998"/>
    <n v="1446.3339999999998"/>
    <n v="0.25383926593860051"/>
    <x v="6"/>
    <x v="1"/>
    <s v="Clean"/>
  </r>
  <r>
    <s v="ORD-2025-10244"/>
    <d v="2025-07-29T00:00:00"/>
    <d v="2025-08-02T00:00:00"/>
    <n v="4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x v="0"/>
    <n v="0.1"/>
    <n v="4049.5140000000001"/>
    <n v="1540.3140000000003"/>
    <n v="0.38037008885510715"/>
    <x v="0"/>
    <x v="1"/>
    <s v="Clean"/>
  </r>
  <r>
    <s v="ORD-2024-10245"/>
    <d v="2024-08-23T00:00:00"/>
    <d v="2024-08-24T00:00:00"/>
    <n v="1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s v="Paid"/>
    <x v="0"/>
    <n v="0"/>
    <n v="6131.34"/>
    <n v="2070.46"/>
    <n v="0.33768474754295147"/>
    <x v="1"/>
    <x v="0"/>
    <s v="Clean"/>
  </r>
  <r>
    <s v="ORD-2024-10246"/>
    <d v="2024-10-18T00:00:00"/>
    <d v="2024-10-24T00:00:00"/>
    <n v="6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s v="Paid"/>
    <x v="0"/>
    <n v="0"/>
    <n v="9827.7899999999991"/>
    <n v="4349.5099999999993"/>
    <n v="0.44257254174132737"/>
    <x v="8"/>
    <x v="0"/>
    <s v="Clean"/>
  </r>
  <r>
    <s v="ORD-2024-10247"/>
    <d v="2024-05-04T00:00:00"/>
    <d v="2024-05-09T00:00:00"/>
    <n v="5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s v="Refunded"/>
    <x v="1"/>
    <n v="0.25"/>
    <n v="521.88749999999993"/>
    <n v="77.36749999999995"/>
    <n v="0.14824555100476627"/>
    <x v="4"/>
    <x v="0"/>
    <s v="Clean"/>
  </r>
  <r>
    <s v="ORD-2024-10248"/>
    <d v="2024-07-25T00:00:00"/>
    <d v="2024-08-01T00:00:00"/>
    <n v="7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s v="Paid"/>
    <x v="0"/>
    <n v="0.25"/>
    <n v="14960.400000000001"/>
    <n v="2459.5600000000013"/>
    <n v="0.16440469506162944"/>
    <x v="0"/>
    <x v="0"/>
    <s v="Clean"/>
  </r>
  <r>
    <s v="ORD-2024-10249"/>
    <d v="2024-06-02T00:00:00"/>
    <d v="2024-07-06T00:00:00"/>
    <n v="34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s v="Paid"/>
    <x v="0"/>
    <n v="0.15"/>
    <n v="6027.5114999999996"/>
    <n v="1143.6914999999999"/>
    <n v="0.18974522072666306"/>
    <x v="2"/>
    <x v="0"/>
    <s v="Clean"/>
  </r>
  <r>
    <s v="ORD-2025-10250"/>
    <d v="2025-08-01T00:00:00"/>
    <d v="2025-08-02T00:00:00"/>
    <n v="1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s v="Paid"/>
    <x v="0"/>
    <n v="0.2"/>
    <n v="8928.9279999999999"/>
    <n v="3294.5479999999998"/>
    <n v="0.36897464062875185"/>
    <x v="1"/>
    <x v="1"/>
    <s v="Clean"/>
  </r>
  <r>
    <s v="ORD-2024-10251"/>
    <d v="2024-02-21T00:00:00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x v="2"/>
    <n v="0.15"/>
    <n v="14338.904999999999"/>
    <n v="2441.2549999999992"/>
    <n v="0.17025393501107647"/>
    <x v="6"/>
    <x v="0"/>
    <s v="Clean"/>
  </r>
  <r>
    <s v="ORD-2025-10252"/>
    <d v="2025-04-06T00:00:00"/>
    <d v="2025-04-10T00:00:00"/>
    <n v="4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x v="0"/>
    <n v="0"/>
    <n v="6132.96"/>
    <n v="1251.8599999999997"/>
    <n v="0.20412003339333692"/>
    <x v="5"/>
    <x v="1"/>
    <s v="Clean"/>
  </r>
  <r>
    <s v="ORD-2025-10253"/>
    <d v="2025-06-25T00:00:00"/>
    <d v="2025-06-28T00:00:00"/>
    <n v="3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s v="Pending"/>
    <x v="2"/>
    <n v="0.2"/>
    <n v="2329.4720000000002"/>
    <n v="725.85200000000032"/>
    <n v="0.31159507390515973"/>
    <x v="2"/>
    <x v="1"/>
    <s v="Clean"/>
  </r>
  <r>
    <s v="ORD-2024-10254"/>
    <d v="2024-09-12T00:00:00"/>
    <d v="2024-09-13T00:00:00"/>
    <n v="1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s v="Refunded"/>
    <x v="1"/>
    <n v="0.05"/>
    <n v="4746.9029999999993"/>
    <n v="1921.5229999999992"/>
    <n v="0.40479508428969363"/>
    <x v="11"/>
    <x v="0"/>
    <s v="Clean"/>
  </r>
  <r>
    <s v="ORD-2025-10255"/>
    <d v="2025-01-01T00:00:00"/>
    <d v="2025-03-01T00:00:00"/>
    <n v="59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s v="Paid"/>
    <x v="2"/>
    <n v="0.2"/>
    <n v="5603.08"/>
    <n v="2470.56"/>
    <n v="0.44092891766671188"/>
    <x v="9"/>
    <x v="1"/>
    <s v="Clean"/>
  </r>
  <r>
    <s v="ORD-2025-10256"/>
    <d v="2025-02-04T00:00:00"/>
    <d v="2025-02-10T00:00:00"/>
    <n v="6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s v="Paid"/>
    <x v="0"/>
    <n v="0"/>
    <n v="12810"/>
    <n v="3475.8799999999992"/>
    <n v="0.27134113973458229"/>
    <x v="6"/>
    <x v="1"/>
    <s v="Clean"/>
  </r>
  <r>
    <s v="ORD-2024-10257"/>
    <d v="2024-11-05T00:00:00"/>
    <d v="2024-11-03T00:00:00"/>
    <n v="-2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s v="Paid"/>
    <x v="0"/>
    <n v="0.05"/>
    <n v="19328.215500000002"/>
    <n v="7288.7155000000021"/>
    <n v="0.3771023507058891"/>
    <x v="3"/>
    <x v="0"/>
    <s v="Warning"/>
  </r>
  <r>
    <s v="ORD-2025-10258"/>
    <d v="2025-08-09T00:00:00"/>
    <d v="2025-08-12T00:00:00"/>
    <n v="3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s v="Paid"/>
    <x v="1"/>
    <n v="0"/>
    <n v="6474.54"/>
    <n v="1378.63"/>
    <n v="0.21293095725719513"/>
    <x v="1"/>
    <x v="1"/>
    <s v="Clean"/>
  </r>
  <r>
    <s v="ORD-2024-10259"/>
    <d v="2024-12-30T00:00:00"/>
    <d v="2025-01-04T00:00:00"/>
    <n v="5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s v="Paid"/>
    <x v="0"/>
    <n v="0.25"/>
    <n v="5580.1050000000005"/>
    <n v="1273.0950000000003"/>
    <n v="0.22814893268137429"/>
    <x v="7"/>
    <x v="0"/>
    <s v="Clean"/>
  </r>
  <r>
    <s v="ORD-2024-10260"/>
    <d v="2024-06-21T00:00:00"/>
    <d v="2024-06-29T00:00:00"/>
    <n v="8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s v="Paid"/>
    <x v="0"/>
    <n v="0.2"/>
    <n v="18265.088"/>
    <n v="7827.9480000000003"/>
    <n v="0.42857433810338064"/>
    <x v="2"/>
    <x v="0"/>
    <s v="Clean"/>
  </r>
  <r>
    <s v="ORD-2025-10261"/>
    <d v="2025-09-23T00:00:00"/>
    <d v="2025-09-27T00:00:00"/>
    <n v="4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x v="2"/>
    <n v="0.25"/>
    <n v="15209.880000000001"/>
    <n v="4318.7300000000014"/>
    <n v="0.28394241111698454"/>
    <x v="11"/>
    <x v="1"/>
    <s v="Clean"/>
  </r>
  <r>
    <s v="ORD-2025-10262"/>
    <d v="2025-06-18T00:00:00"/>
    <d v="2025-06-24T00:00:00"/>
    <n v="6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s v="Failed"/>
    <x v="1"/>
    <n v="0.2"/>
    <n v="1648.1760000000004"/>
    <n v="660.26600000000042"/>
    <n v="0.40060406170214846"/>
    <x v="2"/>
    <x v="1"/>
    <s v="Clean"/>
  </r>
  <r>
    <s v="ORD-2025-10263"/>
    <d v="2025-05-26T00:00:00"/>
    <d v="2025-06-01T00:00:00"/>
    <n v="6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s v="Pending"/>
    <x v="2"/>
    <n v="0"/>
    <n v="13399.44"/>
    <n v="4818.09"/>
    <n v="0.3595739821962709"/>
    <x v="4"/>
    <x v="1"/>
    <s v="Clean"/>
  </r>
  <r>
    <s v="ORD-2025-10264"/>
    <d v="2025-08-06T00:00:00"/>
    <d v="2025-10-08T00:00:00"/>
    <n v="63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s v="Pending"/>
    <x v="2"/>
    <n v="0.1"/>
    <n v="32743.844999999998"/>
    <n v="10291.794999999998"/>
    <n v="0.314312353970647"/>
    <x v="1"/>
    <x v="1"/>
    <s v="Clean"/>
  </r>
  <r>
    <s v="ORD-2024-10265"/>
    <d v="2024-05-16T00:00:00"/>
    <d v="2024-05-21T00:00:00"/>
    <n v="5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s v="Paid"/>
    <x v="0"/>
    <n v="0"/>
    <n v="6012.28"/>
    <n v="2084.64"/>
    <n v="0.34673035853286938"/>
    <x v="4"/>
    <x v="0"/>
    <s v="Clean"/>
  </r>
  <r>
    <s v="ORD-2024-10266"/>
    <d v="2024-11-14T00:00:00"/>
    <d v="2024-11-22T00:00:00"/>
    <n v="8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s v="Refunded"/>
    <x v="1"/>
    <n v="0.15"/>
    <n v="495.0145"/>
    <n v="209.8845"/>
    <n v="0.42399667080459258"/>
    <x v="3"/>
    <x v="0"/>
    <s v="Clean"/>
  </r>
  <r>
    <s v="ORD-2025-10267"/>
    <d v="2025-05-03T00:00:00"/>
    <d v="2025-05-10T00:00:00"/>
    <n v="7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s v="Paid"/>
    <x v="0"/>
    <n v="0"/>
    <n v="13017.72"/>
    <n v="2847.1499999999996"/>
    <n v="0.21871341525244051"/>
    <x v="4"/>
    <x v="1"/>
    <s v="Clean"/>
  </r>
  <r>
    <s v="ORD-2025-10268"/>
    <d v="2025-05-28T00:00:00"/>
    <d v="2025-04-06T00:00:00"/>
    <n v="-52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s v="Paid"/>
    <x v="0"/>
    <n v="0.25"/>
    <n v="785.40000000000009"/>
    <n v="228.18000000000006"/>
    <n v="0.29052711993888469"/>
    <x v="4"/>
    <x v="1"/>
    <s v="Warning"/>
  </r>
  <r>
    <s v="ORD-2025-10269"/>
    <d v="2025-08-17T00:00:00"/>
    <d v="2025-08-17T00:00:00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s v="Paid"/>
    <x v="0"/>
    <n v="0.25"/>
    <n v="3319.05"/>
    <n v="1194.4500000000003"/>
    <n v="0.35987707325891449"/>
    <x v="1"/>
    <x v="1"/>
    <s v="Clean"/>
  </r>
  <r>
    <s v="ORD-2025-10270"/>
    <d v="2025-02-10T00:00:00"/>
    <d v="2025-02-12T00:00:00"/>
    <n v="2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s v="Paid"/>
    <x v="0"/>
    <n v="0"/>
    <n v="1925.86"/>
    <n v="603.9699999999998"/>
    <n v="0.31361054282242729"/>
    <x v="6"/>
    <x v="1"/>
    <s v="Clean"/>
  </r>
  <r>
    <s v="ORD-2024-10271"/>
    <d v="2024-01-12T00:00:00"/>
    <d v="2024-01-13T00:00:00"/>
    <n v="1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s v="Paid"/>
    <x v="0"/>
    <n v="0"/>
    <n v="2482.3200000000002"/>
    <n v="962.11000000000013"/>
    <n v="0.38758500112797706"/>
    <x v="9"/>
    <x v="0"/>
    <s v="Clean"/>
  </r>
  <r>
    <s v="ORD-2024-10272"/>
    <d v="2024-12-21T00:00:00"/>
    <d v="2024-12-25T00:00:00"/>
    <n v="4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s v="Failed"/>
    <x v="1"/>
    <n v="0"/>
    <n v="11674.25"/>
    <n v="2053.0599999999995"/>
    <n v="0.17586226095894808"/>
    <x v="7"/>
    <x v="0"/>
    <s v="Clean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x v="0"/>
    <n v="0.1"/>
    <n v="3510.4230000000002"/>
    <n v="1318.9230000000002"/>
    <n v="0.37571625983535323"/>
    <x v="1"/>
    <x v="0"/>
    <s v="Clean"/>
  </r>
  <r>
    <s v="ORD-2025-10274"/>
    <d v="2025-02-13T00:00:00"/>
    <d v="2025-02-13T00:00:00"/>
    <n v="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s v="Paid"/>
    <x v="2"/>
    <n v="0"/>
    <n v="22694.670000000002"/>
    <n v="7289.3100000000013"/>
    <n v="0.32119039404406413"/>
    <x v="6"/>
    <x v="1"/>
    <s v="Clean"/>
  </r>
  <r>
    <s v="ORD-2024-10275"/>
    <d v="2024-07-04T00:00:00"/>
    <d v="2024-04-14T00:00:00"/>
    <n v="-81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s v="Failed"/>
    <x v="2"/>
    <n v="0.15"/>
    <n v="21658.221000000001"/>
    <n v="6167.5310000000009"/>
    <n v="0.28476627881856043"/>
    <x v="0"/>
    <x v="0"/>
    <s v="Warning"/>
  </r>
  <r>
    <s v="ORD-2024-10276"/>
    <d v="2024-02-15T00:00:00"/>
    <d v="2024-02-22T00:00:00"/>
    <n v="7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s v="Paid"/>
    <x v="0"/>
    <n v="0"/>
    <n v="980.51"/>
    <n v="319.59000000000003"/>
    <n v="0.32594262169687205"/>
    <x v="6"/>
    <x v="0"/>
    <s v="Clean"/>
  </r>
  <r>
    <s v="ORD-2024-10277"/>
    <d v="2024-01-22T00:00:00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x v="0"/>
    <n v="-0.14000000000000001"/>
    <n v="23198.065200000005"/>
    <n v="14784.535200000004"/>
    <n v="0.63731759836591895"/>
    <x v="9"/>
    <x v="0"/>
    <s v="Invalid"/>
  </r>
  <r>
    <s v="ORD-2025-10278"/>
    <d v="2025-06-04T00:00:00"/>
    <d v="2025-06-04T00:00:00"/>
    <n v="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s v="Pending"/>
    <x v="1"/>
    <n v="0.15"/>
    <n v="1813.6704999999999"/>
    <n v="811.1004999999999"/>
    <n v="0.4472149158295291"/>
    <x v="2"/>
    <x v="1"/>
    <s v="Clean"/>
  </r>
  <r>
    <s v="ORD-2025-10279"/>
    <d v="2025-07-03T00:00:00"/>
    <d v="2025-03-14T00:00:00"/>
    <n v="-111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s v="Paid"/>
    <x v="2"/>
    <n v="0.05"/>
    <n v="3780.6579999999999"/>
    <n v="1632.348"/>
    <n v="0.43176293650470365"/>
    <x v="0"/>
    <x v="1"/>
    <s v="Warning"/>
  </r>
  <r>
    <s v="ORD-2024-10280"/>
    <d v="2024-04-09T00:00:00"/>
    <d v="2024-04-10T00:00:00"/>
    <n v="1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s v="Paid"/>
    <x v="0"/>
    <n v="0.05"/>
    <n v="4141.1639999999998"/>
    <n v="1386.9939999999997"/>
    <n v="0.33492853700070796"/>
    <x v="5"/>
    <x v="0"/>
    <s v="Clean"/>
  </r>
  <r>
    <s v="ORD-2024-10281"/>
    <d v="2024-12-23T00:00:00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x v="0"/>
    <n v="0"/>
    <n v="8943.0299999999988"/>
    <n v="3777.6499999999987"/>
    <n v="0.42241276167026154"/>
    <x v="7"/>
    <x v="0"/>
    <s v="Clean"/>
  </r>
  <r>
    <s v="ORD-2025-10282"/>
    <d v="2025-07-25T00:00:00"/>
    <d v="2025-07-27T00:00:00"/>
    <n v="2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s v="Paid"/>
    <x v="0"/>
    <n v="0.2"/>
    <n v="16504.223999999998"/>
    <n v="5241.5139999999992"/>
    <n v="0.31758621308096641"/>
    <x v="0"/>
    <x v="1"/>
    <s v="Clean"/>
  </r>
  <r>
    <s v="ORD-2024-10283"/>
    <d v="2024-10-01T00:00:00"/>
    <d v="2024-10-02T00:00:00"/>
    <n v="1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s v="Paid"/>
    <x v="0"/>
    <n v="0"/>
    <n v="4596"/>
    <n v="1375.67"/>
    <n v="0.29931897302001742"/>
    <x v="8"/>
    <x v="0"/>
    <s v="Clean"/>
  </r>
  <r>
    <s v="ORD-2025-10284"/>
    <d v="2025-03-13T00:00:00"/>
    <d v="2025-03-20T00:00:0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s v="Paid"/>
    <x v="0"/>
    <n v="0"/>
    <n v="1814.01"/>
    <n v="780.54"/>
    <n v="0.43028428729720342"/>
    <x v="10"/>
    <x v="1"/>
    <s v="Clean"/>
  </r>
  <r>
    <s v="ORD-2024-10285"/>
    <d v="2024-12-08T00:00:00"/>
    <d v="2024-12-14T00:00:00"/>
    <n v="6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s v="Paid"/>
    <x v="2"/>
    <n v="0"/>
    <n v="4730.76"/>
    <n v="1591.0300000000002"/>
    <n v="0.33631594077907145"/>
    <x v="7"/>
    <x v="0"/>
    <s v="Clean"/>
  </r>
  <r>
    <s v="ORD-2025-10286"/>
    <d v="2025-08-15T00:00:00"/>
    <d v="2025-08-20T00:00:00"/>
    <n v="5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s v="Paid"/>
    <x v="0"/>
    <n v="0"/>
    <n v="36735.93"/>
    <n v="5915.09"/>
    <n v="0.16101647624001897"/>
    <x v="1"/>
    <x v="1"/>
    <s v="Clean"/>
  </r>
  <r>
    <s v="ORD-2024-10287"/>
    <d v="2024-02-28T00:00:00"/>
    <d v="2024-03-02T00:00:00"/>
    <n v="3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s v="Pending"/>
    <x v="2"/>
    <n v="0.1"/>
    <n v="4421.3399999999992"/>
    <n v="1931.3599999999992"/>
    <n v="0.43682684435035524"/>
    <x v="6"/>
    <x v="0"/>
    <s v="Clean"/>
  </r>
  <r>
    <s v="ORD-2024-10288"/>
    <d v="2024-09-05T00:00:00"/>
    <d v="2024-07-09T00:00:00"/>
    <n v="-58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s v="Paid"/>
    <x v="1"/>
    <n v="0.15"/>
    <n v="6516.9329999999991"/>
    <n v="2005.3929999999991"/>
    <n v="0.30772036477895343"/>
    <x v="11"/>
    <x v="0"/>
    <s v="Warning"/>
  </r>
  <r>
    <s v="ORD-2024-10289"/>
    <d v="2024-06-24T00:00:00"/>
    <d v="2024-06-24T00:00:00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x v="0"/>
    <n v="0.15"/>
    <n v="7411.829999999999"/>
    <n v="2507.1999999999989"/>
    <n v="0.3382700358750807"/>
    <x v="2"/>
    <x v="0"/>
    <s v="Clean"/>
  </r>
  <r>
    <s v="ORD-2025-10290"/>
    <d v="2025-06-19T00:00:00"/>
    <d v="2025-06-27T00:00:00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x v="0"/>
    <n v="0.05"/>
    <n v="8258.7109999999993"/>
    <n v="1239.7409999999991"/>
    <n v="0.15011313508851432"/>
    <x v="2"/>
    <x v="1"/>
    <s v="Clean"/>
  </r>
  <r>
    <s v="ORD-2025-10291"/>
    <d v="2025-08-22T00:00:00"/>
    <d v="2025-08-26T00:00:00"/>
    <n v="4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s v="Paid"/>
    <x v="0"/>
    <n v="0.1"/>
    <n v="1658.3670000000002"/>
    <n v="687.24700000000018"/>
    <n v="0.41441188832146331"/>
    <x v="1"/>
    <x v="1"/>
    <s v="Clean"/>
  </r>
  <r>
    <s v="ORD-2024-10292"/>
    <d v="2024-04-05T00:00:00"/>
    <d v="2024-04-10T00:00:00"/>
    <n v="5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s v="Paid"/>
    <x v="0"/>
    <n v="0.25"/>
    <n v="9685.98"/>
    <n v="1955.9399999999996"/>
    <n v="0.20193516815025425"/>
    <x v="5"/>
    <x v="0"/>
    <s v="Clean"/>
  </r>
  <r>
    <s v="ORD-2025-10293"/>
    <d v="2025-02-28T00:00:00"/>
    <d v="2025-03-03T00:00:00"/>
    <n v="3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s v="Pending"/>
    <x v="1"/>
    <n v="0"/>
    <n v="33740.549999999996"/>
    <n v="9118.6599999999962"/>
    <n v="0.2702581908119458"/>
    <x v="6"/>
    <x v="1"/>
    <s v="Clean"/>
  </r>
  <r>
    <s v="ORD-2024-10294"/>
    <d v="2024-03-07T00:00:00"/>
    <d v="2024-11-03T00:00:00"/>
    <n v="241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s v="Paid"/>
    <x v="0"/>
    <n v="0.65"/>
    <n v="3081.0569999999998"/>
    <n v="-3459.9830000000002"/>
    <n v="-1.1229857156164267"/>
    <x v="10"/>
    <x v="0"/>
    <s v="Clean"/>
  </r>
  <r>
    <s v="ORD-2025-10295"/>
    <d v="2025-07-16T00:00:00"/>
    <d v="2025-07-22T00:00:00"/>
    <n v="6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s v="Paid"/>
    <x v="2"/>
    <n v="0.25"/>
    <n v="18716.985000000001"/>
    <n v="6434.5550000000003"/>
    <n v="0.34378159730319813"/>
    <x v="0"/>
    <x v="1"/>
    <s v="Clean"/>
  </r>
  <r>
    <s v="ORD-2025-10296"/>
    <d v="2025-06-25T00:00:00"/>
    <d v="2025-06-28T00:00:00"/>
    <n v="3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s v="Paid"/>
    <x v="0"/>
    <n v="0.1"/>
    <n v="9385.3350000000009"/>
    <n v="3556.795000000001"/>
    <n v="0.37897368607513748"/>
    <x v="2"/>
    <x v="1"/>
    <s v="Clean"/>
  </r>
  <r>
    <s v="ORD-2025-10297"/>
    <d v="2025-05-24T00:00:00"/>
    <d v="2025-05-26T00:00:00"/>
    <n v="2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s v="Paid"/>
    <x v="0"/>
    <n v="0.15"/>
    <n v="17826.591"/>
    <n v="6971.241"/>
    <n v="0.39105855965394615"/>
    <x v="4"/>
    <x v="1"/>
    <s v="Clean"/>
  </r>
  <r>
    <s v="ORD-2024-10298"/>
    <d v="2024-10-29T00:00:00"/>
    <d v="2024-06-11T00:00:00"/>
    <n v="-14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s v="Paid"/>
    <x v="0"/>
    <n v="0.15"/>
    <n v="5966.5920000000006"/>
    <n v="1971.8720000000008"/>
    <n v="0.33048547646629778"/>
    <x v="8"/>
    <x v="0"/>
    <s v="Warning"/>
  </r>
  <r>
    <s v="ORD-2025-10299"/>
    <d v="2025-01-23T00:00:00"/>
    <d v="2025-01-26T00:00:00"/>
    <n v="3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s v="Failed"/>
    <x v="2"/>
    <n v="0.2"/>
    <n v="1951.5440000000003"/>
    <n v="341.59400000000028"/>
    <n v="0.17503781621116421"/>
    <x v="9"/>
    <x v="1"/>
    <s v="Clean"/>
  </r>
  <r>
    <s v="ORD-2024-10300"/>
    <d v="2024-06-11T00:00:00"/>
    <d v="2024-11-12T00:00:00"/>
    <n v="154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s v="Paid"/>
    <x v="0"/>
    <n v="0.1"/>
    <n v="10830.015000000001"/>
    <n v="3774.7050000000008"/>
    <n v="0.34854106850267524"/>
    <x v="2"/>
    <x v="0"/>
    <s v="Clean"/>
  </r>
  <r>
    <s v="ORD-2024-10301"/>
    <d v="2024-04-15T00:00:00"/>
    <d v="2024-04-23T00:00:00"/>
    <n v="8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s v="Paid"/>
    <x v="0"/>
    <n v="0.1"/>
    <n v="31539.293999999998"/>
    <n v="9439.1539999999986"/>
    <n v="0.29928234918638313"/>
    <x v="5"/>
    <x v="0"/>
    <s v="Clean"/>
  </r>
  <r>
    <s v="ORD-2025-10302"/>
    <d v="2025-05-28T00:00:00"/>
    <d v="2025-01-06T00:00:00"/>
    <n v="-142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s v="Paid"/>
    <x v="0"/>
    <n v="0.05"/>
    <n v="6285.6179999999995"/>
    <n v="2580.2379999999994"/>
    <n v="0.41049869718458865"/>
    <x v="4"/>
    <x v="1"/>
    <s v="Warning"/>
  </r>
  <r>
    <s v="ORD-2025-10303"/>
    <d v="2025-04-06T00:00:00"/>
    <d v="2025-06-12T00:00:00"/>
    <n v="67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s v="Paid"/>
    <x v="0"/>
    <n v="0.25"/>
    <n v="4054.92"/>
    <n v="1630.0900000000001"/>
    <n v="0.40200299882611745"/>
    <x v="5"/>
    <x v="1"/>
    <s v="Clean"/>
  </r>
  <r>
    <s v="ORD-2024-10304"/>
    <d v="2024-06-23T00:00:00"/>
    <d v="2024-06-28T00:00:00"/>
    <n v="5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s v="Pending"/>
    <x v="2"/>
    <n v="0.1"/>
    <n v="2363.652"/>
    <n v="487.55200000000013"/>
    <n v="0.20627063544041174"/>
    <x v="2"/>
    <x v="0"/>
    <s v="Clean"/>
  </r>
  <r>
    <s v="ORD-2024-10305"/>
    <d v="2024-03-06T00:00:00"/>
    <d v="2024-03-13T00:00:00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s v="Paid"/>
    <x v="0"/>
    <n v="0.1"/>
    <n v="12976.470000000001"/>
    <n v="2956.4900000000016"/>
    <n v="0.22783468847845378"/>
    <x v="10"/>
    <x v="0"/>
    <s v="Clean"/>
  </r>
  <r>
    <s v="ORD-2024-10306"/>
    <d v="2024-05-01T00:00:00"/>
    <d v="2024-05-02T00:00:00"/>
    <n v="1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x v="1"/>
    <n v="0.55000000000000004"/>
    <n v="7480.9080000000004"/>
    <n v="-2371.0019999999995"/>
    <n v="-0.31694040349112695"/>
    <x v="4"/>
    <x v="0"/>
    <s v="Clean"/>
  </r>
  <r>
    <s v="ORD-2025-10307"/>
    <d v="2025-02-20T00:00:00"/>
    <d v="2025-02-23T00:00:00"/>
    <n v="3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s v="Paid"/>
    <x v="0"/>
    <n v="0"/>
    <n v="14692.44"/>
    <n v="4610.25"/>
    <n v="0.31378382351740075"/>
    <x v="6"/>
    <x v="1"/>
    <s v="Clean"/>
  </r>
  <r>
    <s v="ORD-2025-10308"/>
    <d v="2025-07-12T00:00:00"/>
    <d v="2025-07-19T00:00:00"/>
    <n v="7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x v="1"/>
    <n v="0.2"/>
    <n v="29469.888000000003"/>
    <n v="10534.378000000004"/>
    <n v="0.3574624375905332"/>
    <x v="0"/>
    <x v="1"/>
    <s v="Clean"/>
  </r>
  <r>
    <s v="ORD-2025-10309"/>
    <d v="2025-06-13T00:00:00"/>
    <d v="2025-06-19T00:00:00"/>
    <n v="6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s v="Paid"/>
    <x v="0"/>
    <n v="0.2"/>
    <n v="2341.0240000000003"/>
    <n v="775.53400000000033"/>
    <n v="0.33127981601213835"/>
    <x v="2"/>
    <x v="1"/>
    <s v="Clean"/>
  </r>
  <r>
    <s v="ORD-2024-10310"/>
    <d v="2024-07-20T00:00:00"/>
    <d v="2024-07-22T00:00:00"/>
    <n v="2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s v="Paid"/>
    <x v="1"/>
    <n v="0.1"/>
    <n v="12982.599"/>
    <n v="5736.2390000000005"/>
    <n v="0.441840574448922"/>
    <x v="0"/>
    <x v="0"/>
    <s v="Clean"/>
  </r>
  <r>
    <s v="ORD-2024-10311"/>
    <d v="2024-04-07T00:00:00"/>
    <d v="2024-08-07T00:00:00"/>
    <n v="122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s v="Paid"/>
    <x v="0"/>
    <n v="0"/>
    <n v="16274"/>
    <n v="6849.75"/>
    <n v="0.42090143787636719"/>
    <x v="5"/>
    <x v="0"/>
    <s v="Clean"/>
  </r>
  <r>
    <s v="ORD-2024-10312"/>
    <d v="2024-04-27T00:00:00"/>
    <d v="2024-02-05T00:00:00"/>
    <n v="-82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s v="Paid"/>
    <x v="0"/>
    <n v="0.1"/>
    <n v="2493.1799999999998"/>
    <n v="729.17999999999984"/>
    <n v="0.29246985777200196"/>
    <x v="5"/>
    <x v="0"/>
    <s v="Warning"/>
  </r>
  <r>
    <s v="ORD-2024-10313"/>
    <d v="2024-07-31T00:00:00"/>
    <d v="2024-04-08T00:00:00"/>
    <n v="-114"/>
    <s v="CUST-4851"/>
    <s v="Karan Malhotra"/>
    <x v="1"/>
    <x v="1"/>
    <s v="Assam"/>
    <s v="Guwahati"/>
    <x v="2"/>
    <x v="11"/>
    <s v="Elite Phones 679"/>
    <x v="3"/>
    <n v="8"/>
    <n v="2614.7399999999998"/>
    <n v="0"/>
    <n v="15688.44"/>
    <n v="10047.33"/>
    <n v="5641.11"/>
    <s v="Paid"/>
    <x v="1"/>
    <n v="0"/>
    <n v="20917.919999999998"/>
    <n v="10870.589999999998"/>
    <n v="0.5196783427797792"/>
    <x v="0"/>
    <x v="0"/>
    <s v="Warning"/>
  </r>
  <r>
    <s v="ORD-2025-10314"/>
    <d v="2025-05-30T00:00:00"/>
    <d v="2025-05-31T00:00:00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x v="1"/>
    <n v="0.25"/>
    <n v="12488.579999999998"/>
    <n v="1771.1799999999985"/>
    <n v="0.14182397037933847"/>
    <x v="4"/>
    <x v="1"/>
    <s v="Clean"/>
  </r>
  <r>
    <s v="ORD-2025-10315"/>
    <d v="2025-05-18T00:00:00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s v="Failed"/>
    <x v="2"/>
    <n v="0.15"/>
    <n v="6485.3639999999996"/>
    <n v="1109.1939999999995"/>
    <n v="0.17103033846673826"/>
    <x v="4"/>
    <x v="1"/>
    <s v="Clean"/>
  </r>
  <r>
    <s v="ORD-2024-10316"/>
    <d v="2024-07-02T00:00:00"/>
    <d v="2024-07-08T00:00:00"/>
    <n v="6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s v="Pending"/>
    <x v="2"/>
    <n v="0.05"/>
    <n v="29500.920000000002"/>
    <n v="11511.240000000002"/>
    <n v="0.39019935649464493"/>
    <x v="0"/>
    <x v="0"/>
    <s v="Clean"/>
  </r>
  <r>
    <s v="ORD-2024-10317"/>
    <d v="2024-02-16T00:00:00"/>
    <d v="2024-02-18T00:00:00"/>
    <n v="2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s v="Paid"/>
    <x v="1"/>
    <n v="0.2"/>
    <n v="3116.0480000000002"/>
    <n v="1159.4180000000001"/>
    <n v="0.37207963420332424"/>
    <x v="6"/>
    <x v="0"/>
    <s v="Clean"/>
  </r>
  <r>
    <s v="ORD-2025-10318"/>
    <d v="2025-08-29T00:00:00"/>
    <d v="2025-09-04T00:00:00"/>
    <n v="6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s v="Paid"/>
    <x v="0"/>
    <n v="0.15"/>
    <n v="22926.820499999998"/>
    <n v="8305.2304999999978"/>
    <n v="0.36224955396671765"/>
    <x v="1"/>
    <x v="1"/>
    <s v="Clean"/>
  </r>
  <r>
    <s v="ORD-2024-10319"/>
    <d v="2024-04-25T00:00:00"/>
    <d v="2024-04-30T00:00:00"/>
    <n v="5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s v="Paid"/>
    <x v="0"/>
    <n v="0.1"/>
    <n v="11203.542000000001"/>
    <n v="2750.612000000001"/>
    <n v="0.24551271374713468"/>
    <x v="5"/>
    <x v="0"/>
    <s v="Clean"/>
  </r>
  <r>
    <s v="ORD-2024-10320"/>
    <d v="2024-08-21T00:00:00"/>
    <d v="2024-08-25T00:00:00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x v="0"/>
    <n v="0"/>
    <n v="270.27999999999997"/>
    <n v="113.93999999999997"/>
    <n v="0.42156282373834536"/>
    <x v="1"/>
    <x v="0"/>
    <s v="Clean"/>
  </r>
  <r>
    <s v="ORD-2024-10321"/>
    <d v="2024-12-04T00:00:00"/>
    <d v="2024-12-06T00:00:00"/>
    <n v="2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s v="Pending"/>
    <x v="2"/>
    <n v="0.7"/>
    <n v="788.52600000000018"/>
    <n v="-753.01399999999978"/>
    <n v="-0.95496407220560842"/>
    <x v="7"/>
    <x v="0"/>
    <s v="Clean"/>
  </r>
  <r>
    <s v="ORD-2024-10322"/>
    <d v="2024-06-23T00:00:00"/>
    <d v="2024-06-30T00:00:00"/>
    <n v="7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s v="Failed"/>
    <x v="1"/>
    <n v="0"/>
    <n v="2699.28"/>
    <n v="939.52000000000021"/>
    <n v="0.34806318722029583"/>
    <x v="2"/>
    <x v="0"/>
    <s v="Clean"/>
  </r>
  <r>
    <s v="ORD-2024-10323"/>
    <d v="2024-11-12T00:00:00"/>
    <d v="2024-12-11T00:00:00"/>
    <n v="29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s v="Paid"/>
    <x v="0"/>
    <n v="0.15"/>
    <n v="6984.3480000000009"/>
    <n v="2960.7180000000008"/>
    <n v="0.42390757161584736"/>
    <x v="3"/>
    <x v="0"/>
    <s v="Clean"/>
  </r>
  <r>
    <s v="ORD-2024-10324"/>
    <d v="2024-02-25T00:00:00"/>
    <d v="2024-02-29T00:00:00"/>
    <n v="4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s v="Paid"/>
    <x v="0"/>
    <n v="0.15"/>
    <n v="10185.669"/>
    <n v="3706.3589999999995"/>
    <n v="0.36387978050337189"/>
    <x v="6"/>
    <x v="0"/>
    <s v="Clean"/>
  </r>
  <r>
    <s v="ORD-2025-10325"/>
    <d v="2025-07-31T00:00:00"/>
    <d v="2025-02-08T00:00:00"/>
    <n v="-173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x v="2"/>
    <n v="0.15"/>
    <n v="1655.6980000000001"/>
    <n v="300.89800000000014"/>
    <n v="0.1817348332848141"/>
    <x v="0"/>
    <x v="1"/>
    <s v="Warning"/>
  </r>
  <r>
    <s v="ORD-2025-10326"/>
    <d v="2025-09-16T00:00:00"/>
    <d v="2025-09-22T00:00:00"/>
    <n v="6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s v="Paid"/>
    <x v="0"/>
    <n v="0.15"/>
    <n v="15602.6"/>
    <n v="3694.08"/>
    <n v="0.236760539910015"/>
    <x v="11"/>
    <x v="1"/>
    <s v="Clean"/>
  </r>
  <r>
    <s v="ORD-2025-10327"/>
    <d v="2025-07-22T00:00:00"/>
    <d v="2025-07-22T00:00:00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s v="Paid"/>
    <x v="0"/>
    <n v="0.05"/>
    <n v="15138.487499999999"/>
    <n v="3902.7674999999999"/>
    <n v="0.25780432160082045"/>
    <x v="0"/>
    <x v="1"/>
    <s v="Clean"/>
  </r>
  <r>
    <s v="ORD-2024-10328"/>
    <d v="2024-07-24T00:00:00"/>
    <d v="2024-07-27T00:00:00"/>
    <n v="3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s v="Pending"/>
    <x v="1"/>
    <n v="0.2"/>
    <n v="4402.92"/>
    <n v="1408.98"/>
    <n v="0.32001035676323897"/>
    <x v="0"/>
    <x v="0"/>
    <s v="Clean"/>
  </r>
  <r>
    <s v="ORD-2025-10329"/>
    <d v="2025-05-29T00:00:00"/>
    <d v="2025-06-04T00:00:00"/>
    <n v="6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s v="Paid"/>
    <x v="0"/>
    <n v="0"/>
    <n v="18604.079999999998"/>
    <n v="2769.7799999999988"/>
    <n v="0.1488802456235406"/>
    <x v="4"/>
    <x v="1"/>
    <s v="Clean"/>
  </r>
  <r>
    <s v="ORD-2025-10330"/>
    <d v="2025-05-12T00:00:00"/>
    <d v="2025-05-18T00:00:00"/>
    <n v="6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s v="Paid"/>
    <x v="0"/>
    <n v="0.05"/>
    <n v="15401.513999999999"/>
    <n v="6751.0939999999991"/>
    <n v="0.43833963336331738"/>
    <x v="4"/>
    <x v="1"/>
    <s v="Clean"/>
  </r>
  <r>
    <s v="ORD-2024-10331"/>
    <d v="2024-05-16T00:00:00"/>
    <d v="2024-05-24T00:00:00"/>
    <n v="8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s v="Failed"/>
    <x v="1"/>
    <n v="0"/>
    <n v="783.09"/>
    <n v="279.20000000000005"/>
    <n v="0.3565362857398256"/>
    <x v="4"/>
    <x v="0"/>
    <s v="Clean"/>
  </r>
  <r>
    <s v="ORD-2024-10332"/>
    <d v="2024-04-12T00:00:00"/>
    <d v="2024-12-06T00:00:00"/>
    <n v="238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s v="Paid"/>
    <x v="2"/>
    <n v="0"/>
    <n v="10742.64"/>
    <n v="4265.2699999999995"/>
    <n v="0.39704113700170535"/>
    <x v="5"/>
    <x v="0"/>
    <s v="Clean"/>
  </r>
  <r>
    <s v="ORD-2025-10333"/>
    <d v="2025-05-27T00:00:00"/>
    <d v="2025-05-28T00:00:00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s v="Paid"/>
    <x v="0"/>
    <n v="0"/>
    <n v="7823.92"/>
    <n v="1789.29"/>
    <n v="0.22869482305545047"/>
    <x v="4"/>
    <x v="1"/>
    <s v="Clean"/>
  </r>
  <r>
    <s v="ORD-2025-10334"/>
    <d v="2025-06-22T00:00:00"/>
    <d v="2025-06-27T00:00:00"/>
    <n v="5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s v="Paid"/>
    <x v="0"/>
    <n v="0"/>
    <n v="2936.1"/>
    <n v="1013"/>
    <n v="0.34501549674738602"/>
    <x v="2"/>
    <x v="1"/>
    <s v="Clean"/>
  </r>
  <r>
    <s v="ORD-2024-10335"/>
    <d v="2024-09-12T00:00:00"/>
    <d v="2024-09-17T00:00:00"/>
    <n v="5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s v="Paid"/>
    <x v="0"/>
    <n v="0.25"/>
    <n v="12969.922500000001"/>
    <n v="3571.4625000000015"/>
    <n v="0.27536498386941027"/>
    <x v="11"/>
    <x v="0"/>
    <s v="Clean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s v="Paid"/>
    <x v="0"/>
    <n v="0.1"/>
    <n v="11581.299000000001"/>
    <n v="4751.8690000000006"/>
    <n v="0.41030535521101735"/>
    <x v="2"/>
    <x v="1"/>
    <s v="Clean"/>
  </r>
  <r>
    <s v="ORD-2024-10337"/>
    <d v="2024-03-17T00:00:00"/>
    <d v="2024-03-21T00:00:00"/>
    <n v="4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s v="Paid"/>
    <x v="0"/>
    <n v="0"/>
    <n v="15940.56"/>
    <n v="3593.41"/>
    <n v="0.2254255810335396"/>
    <x v="10"/>
    <x v="0"/>
    <s v="Clean"/>
  </r>
  <r>
    <s v="ORD-2024-10338"/>
    <d v="2024-08-12T00:00:00"/>
    <d v="2024-08-18T00:00:00"/>
    <n v="6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s v="Paid"/>
    <x v="0"/>
    <n v="0"/>
    <n v="7090.4400000000005"/>
    <n v="1418.17"/>
    <n v="0.20001156486762456"/>
    <x v="1"/>
    <x v="0"/>
    <s v="Clean"/>
  </r>
  <r>
    <s v="ORD-2024-10339"/>
    <d v="2024-08-12T00:00:00"/>
    <d v="2024-12-08T00:00:00"/>
    <n v="118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x v="0"/>
    <n v="0.25"/>
    <n v="26414.159999999996"/>
    <n v="4591.6299999999974"/>
    <n v="0.17383214154832097"/>
    <x v="1"/>
    <x v="0"/>
    <s v="Clean"/>
  </r>
  <r>
    <s v="ORD-2025-10340"/>
    <d v="2025-02-20T00:00:00"/>
    <d v="2025-02-22T00:00:00"/>
    <n v="2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s v="Paid"/>
    <x v="0"/>
    <n v="0.2"/>
    <n v="20900.864000000001"/>
    <n v="8387.724000000002"/>
    <n v="0.40130991714026759"/>
    <x v="6"/>
    <x v="1"/>
    <s v="Clean"/>
  </r>
  <r>
    <s v="ORD-2024-10341"/>
    <d v="2024-01-21T00:00:00"/>
    <d v="2024-01-29T00:00:00"/>
    <n v="8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s v="Paid"/>
    <x v="0"/>
    <n v="0.1"/>
    <n v="18261.36"/>
    <n v="6861.42"/>
    <n v="0.3757343374206521"/>
    <x v="9"/>
    <x v="0"/>
    <s v="Clean"/>
  </r>
  <r>
    <s v="ORD-2025-10342"/>
    <d v="2025-09-08T00:00:00"/>
    <d v="2025-09-09T00:00:00"/>
    <n v="1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s v="Paid"/>
    <x v="0"/>
    <n v="0.05"/>
    <n v="7524.6269999999995"/>
    <n v="1295.0269999999991"/>
    <n v="0.17210514222166751"/>
    <x v="11"/>
    <x v="1"/>
    <s v="Clean"/>
  </r>
  <r>
    <s v="ORD-2025-10343"/>
    <d v="2025-07-24T00:00:00"/>
    <d v="2025-01-08T00:00:00"/>
    <n v="-197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s v="Paid"/>
    <x v="0"/>
    <n v="0"/>
    <n v="12231.36"/>
    <n v="3464.4600000000009"/>
    <n v="0.28324405462679547"/>
    <x v="0"/>
    <x v="1"/>
    <s v="Warning"/>
  </r>
  <r>
    <s v="ORD-2025-10344"/>
    <d v="2025-10-03T00:00:00"/>
    <d v="2025-10-08T00:00:00"/>
    <n v="5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s v="Paid"/>
    <x v="0"/>
    <n v="0.1"/>
    <n v="31079.7"/>
    <n v="13321.45"/>
    <n v="0.4286222196481948"/>
    <x v="8"/>
    <x v="1"/>
    <s v="Clean"/>
  </r>
  <r>
    <s v="ORD-2024-10345"/>
    <d v="2024-11-03T00:00:00"/>
    <d v="2024-11-03T00:00:00"/>
    <n v="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s v="Pending"/>
    <x v="2"/>
    <n v="0"/>
    <n v="31107.420000000002"/>
    <n v="10960.760000000002"/>
    <n v="0.3523519468988428"/>
    <x v="3"/>
    <x v="0"/>
    <s v="Clean"/>
  </r>
  <r>
    <s v="ORD-2024-10346"/>
    <d v="2024-09-14T00:00:00"/>
    <d v="2024-09-22T00:00:00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s v="Paid"/>
    <x v="0"/>
    <n v="0"/>
    <n v="5530.6"/>
    <n v="1077.4900000000007"/>
    <n v="0.19482334647235391"/>
    <x v="11"/>
    <x v="0"/>
    <s v="Clean"/>
  </r>
  <r>
    <s v="ORD-2025-10347"/>
    <d v="2025-07-22T00:00:00"/>
    <d v="2025-07-28T00:00:00"/>
    <n v="6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s v="Paid"/>
    <x v="0"/>
    <n v="0.2"/>
    <n v="7715.8080000000009"/>
    <n v="3457.3880000000008"/>
    <n v="0.4480915025360922"/>
    <x v="0"/>
    <x v="1"/>
    <s v="Clean"/>
  </r>
  <r>
    <s v="ORD-2024-10348"/>
    <d v="2024-01-12T00:00:00"/>
    <d v="2024-12-08T00:00:00"/>
    <n v="331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s v="Refunded"/>
    <x v="2"/>
    <n v="0.2"/>
    <n v="11925.96"/>
    <n v="1822.4499999999989"/>
    <n v="0.15281369382422874"/>
    <x v="9"/>
    <x v="0"/>
    <s v="Clean"/>
  </r>
  <r>
    <s v="ORD-2024-10349"/>
    <d v="2024-06-02T00:00:00"/>
    <d v="2024-06-07T00:00:00"/>
    <n v="5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x v="0"/>
    <n v="0.25"/>
    <n v="19306.755000000005"/>
    <n v="4864.3750000000055"/>
    <n v="0.25195197225012717"/>
    <x v="2"/>
    <x v="0"/>
    <s v="Clean"/>
  </r>
  <r>
    <s v="ORD-2025-10350"/>
    <d v="2025-09-27T00:00:00"/>
    <d v="2025-09-29T00:00:00"/>
    <n v="2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s v="Paid"/>
    <x v="0"/>
    <n v="0.25"/>
    <n v="19355.962500000001"/>
    <n v="4343.5125000000007"/>
    <n v="0.22440178317146461"/>
    <x v="11"/>
    <x v="1"/>
    <s v="Clean"/>
  </r>
  <r>
    <s v="ORD-2024-10351"/>
    <d v="2024-07-01T00:00:00"/>
    <d v="2024-01-14T00:00:00"/>
    <n v="-169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s v="Refunded"/>
    <x v="2"/>
    <n v="0.1"/>
    <n v="11914.344000000001"/>
    <n v="2143.1040000000012"/>
    <n v="0.17987595456367561"/>
    <x v="0"/>
    <x v="0"/>
    <s v="Warning"/>
  </r>
  <r>
    <s v="ORD-2025-10352"/>
    <d v="2025-05-23T00:00:00"/>
    <d v="2025-05-27T00:00:00"/>
    <n v="4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s v="Pending"/>
    <x v="1"/>
    <n v="0.25"/>
    <n v="3237.4800000000005"/>
    <n v="1119.1400000000003"/>
    <n v="0.34568244437031276"/>
    <x v="4"/>
    <x v="1"/>
    <s v="Clean"/>
  </r>
  <r>
    <s v="ORD-2025-10353"/>
    <d v="2025-08-15T00:00:00"/>
    <d v="2025-08-17T00:00:00"/>
    <n v="2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s v="Paid"/>
    <x v="0"/>
    <n v="0.25"/>
    <n v="10734.75"/>
    <n v="4259.0200000000004"/>
    <n v="0.39675073942103917"/>
    <x v="1"/>
    <x v="1"/>
    <s v="Clean"/>
  </r>
  <r>
    <s v="ORD-2025-10354"/>
    <d v="2025-02-21T00:00:00"/>
    <d v="2025-02-27T00:00:00"/>
    <n v="6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s v="Paid"/>
    <x v="0"/>
    <n v="0.2"/>
    <n v="10308.024000000001"/>
    <n v="4485.7140000000009"/>
    <n v="0.4351672056642476"/>
    <x v="6"/>
    <x v="1"/>
    <s v="Clean"/>
  </r>
  <r>
    <s v="ORD-2024-10355"/>
    <d v="2024-12-27T00:00:00"/>
    <d v="2024-12-31T00:00:00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s v="Pending"/>
    <x v="1"/>
    <n v="-0.06"/>
    <n v="21285.520800000002"/>
    <n v="8376.6808000000019"/>
    <n v="0.39353891683965753"/>
    <x v="7"/>
    <x v="0"/>
    <s v="Invalid"/>
  </r>
  <r>
    <s v="ORD-2024-10356"/>
    <d v="2024-12-05T00:00:00"/>
    <d v="2024-05-09T00:00:00"/>
    <n v="-21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s v="Pending"/>
    <x v="1"/>
    <n v="0"/>
    <n v="16017.4"/>
    <n v="6459.6"/>
    <n v="0.40328642601171227"/>
    <x v="7"/>
    <x v="0"/>
    <s v="Warning"/>
  </r>
  <r>
    <s v="ORD-2025-10357"/>
    <d v="2025-06-27T00:00:00"/>
    <d v="2025-06-29T00:00:00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x v="2"/>
    <n v="0.2"/>
    <n v="2486.8000000000002"/>
    <n v="355.07000000000016"/>
    <n v="0.1427818883705968"/>
    <x v="2"/>
    <x v="1"/>
    <s v="Clean"/>
  </r>
  <r>
    <s v="ORD-2025-10358"/>
    <d v="2025-01-21T00:00:00"/>
    <d v="2025-01-29T00:00:00"/>
    <n v="8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s v="Paid"/>
    <x v="1"/>
    <n v="0"/>
    <n v="4369.04"/>
    <n v="652.15999999999985"/>
    <n v="0.14926848918755603"/>
    <x v="9"/>
    <x v="1"/>
    <s v="Clean"/>
  </r>
  <r>
    <s v="ORD-2025-10359"/>
    <d v="2025-08-09T00:00:00"/>
    <d v="2025-08-07T00:00:00"/>
    <n v="-2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s v="Pending"/>
    <x v="2"/>
    <n v="0.05"/>
    <n v="5956.12"/>
    <n v="1576.9399999999996"/>
    <n v="0.26475960860425907"/>
    <x v="1"/>
    <x v="1"/>
    <s v="Warning"/>
  </r>
  <r>
    <s v="ORD-2024-10360"/>
    <d v="2024-08-21T00:00:00"/>
    <d v="2024-08-22T00:00:00"/>
    <n v="1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s v="Paid"/>
    <x v="0"/>
    <n v="0.1"/>
    <n v="4997.3760000000002"/>
    <n v="2025.9860000000003"/>
    <n v="0.40540995914656014"/>
    <x v="1"/>
    <x v="0"/>
    <s v="Clean"/>
  </r>
  <r>
    <s v="ORD-2024-10361"/>
    <d v="2024-06-17T00:00:00"/>
    <d v="2024-06-20T00:00:0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x v="1"/>
    <n v="0.2"/>
    <n v="17669.400000000001"/>
    <n v="3950.630000000001"/>
    <n v="0.2235859734908939"/>
    <x v="2"/>
    <x v="0"/>
    <s v="Clean"/>
  </r>
  <r>
    <s v="ORD-2025-10362"/>
    <d v="2025-01-04T00:00:00"/>
    <d v="2025-04-02T00:00:00"/>
    <n v="88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s v="Pending"/>
    <x v="2"/>
    <n v="0.05"/>
    <n v="35615.709000000003"/>
    <n v="15225.999000000003"/>
    <n v="0.42750795723314122"/>
    <x v="9"/>
    <x v="1"/>
    <s v="Clean"/>
  </r>
  <r>
    <s v="ORD-2024-10363"/>
    <d v="2024-08-23T00:00:00"/>
    <d v="2024-08-25T00:00:00"/>
    <n v="2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s v="Paid"/>
    <x v="0"/>
    <n v="0.05"/>
    <n v="1866.4079999999999"/>
    <n v="289.91799999999989"/>
    <n v="0.15533473924243782"/>
    <x v="1"/>
    <x v="0"/>
    <s v="Clean"/>
  </r>
  <r>
    <s v="ORD-2025-10364"/>
    <d v="2025-07-07T00:00:00"/>
    <d v="2025-07-12T00:00:00"/>
    <n v="5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s v="Paid"/>
    <x v="0"/>
    <n v="0.25"/>
    <n v="6867.6374999999989"/>
    <n v="1662.2774999999992"/>
    <n v="0.24204502640100028"/>
    <x v="0"/>
    <x v="1"/>
    <s v="Clean"/>
  </r>
  <r>
    <s v="ORD-2025-10365"/>
    <d v="2025-03-21T00:00:00"/>
    <d v="2025-03-24T00:00:00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x v="0"/>
    <n v="0"/>
    <n v="6195.75"/>
    <n v="2228.73"/>
    <n v="0.35971916232901585"/>
    <x v="10"/>
    <x v="1"/>
    <s v="Clean"/>
  </r>
  <r>
    <s v="ORD-2024-10366"/>
    <d v="2024-06-15T00:00:00"/>
    <d v="2024-06-21T00:00:00"/>
    <n v="6"/>
    <s v="CUST-2203"/>
    <s v="Aditi Sen"/>
    <x v="2"/>
    <x v="3"/>
    <s v="Goa"/>
    <s v="Panaji"/>
    <x v="2"/>
    <x v="5"/>
    <s v="Basic Accessories 774"/>
    <x v="2"/>
    <n v="8"/>
    <n v="1706.4"/>
    <n v="0"/>
    <n v="12968.64"/>
    <n v="10119.61"/>
    <n v="2849.03"/>
    <s v="Paid"/>
    <x v="0"/>
    <n v="0"/>
    <n v="13651.2"/>
    <n v="3531.59"/>
    <n v="0.2587017991092358"/>
    <x v="2"/>
    <x v="0"/>
    <s v="Clean"/>
  </r>
  <r>
    <s v="ORD-2025-10367"/>
    <d v="2025-01-16T00:00:00"/>
    <d v="2025-01-22T00:00:00"/>
    <n v="6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s v="Paid"/>
    <x v="0"/>
    <n v="0"/>
    <n v="8836.56"/>
    <n v="2968.8099999999995"/>
    <n v="0.33596897435201023"/>
    <x v="9"/>
    <x v="1"/>
    <s v="Clean"/>
  </r>
  <r>
    <s v="ORD-2024-10368"/>
    <d v="2024-03-15T00:00:00"/>
    <d v="2024-03-16T00:00:00"/>
    <n v="1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s v="Failed"/>
    <x v="1"/>
    <n v="0.15"/>
    <n v="19456.958999999999"/>
    <n v="4936.8989999999994"/>
    <n v="0.25373435797443988"/>
    <x v="10"/>
    <x v="0"/>
    <s v="Clean"/>
  </r>
  <r>
    <s v="ORD-2025-10369"/>
    <d v="2025-06-07T00:00:00"/>
    <d v="2025-06-07T00:00:00"/>
    <n v="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s v="Refunded"/>
    <x v="2"/>
    <n v="0.05"/>
    <n v="2079.2745"/>
    <n v="567.10449999999992"/>
    <n v="0.27274152595051782"/>
    <x v="2"/>
    <x v="1"/>
    <s v="Clean"/>
  </r>
  <r>
    <s v="ORD-2025-10370"/>
    <d v="2025-01-23T00:00:00"/>
    <d v="2025-01-30T00:00:00"/>
    <n v="7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s v="Paid"/>
    <x v="0"/>
    <n v="0.15"/>
    <n v="8945.6804999999986"/>
    <n v="2205.3304999999982"/>
    <n v="0.24652462157574245"/>
    <x v="9"/>
    <x v="1"/>
    <s v="Clean"/>
  </r>
  <r>
    <s v="ORD-2024-10371"/>
    <d v="2024-08-15T00:00:00"/>
    <d v="2024-08-21T00:00:00"/>
    <n v="6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s v="Paid"/>
    <x v="0"/>
    <n v="0.2"/>
    <n v="13069.336000000001"/>
    <n v="4300.746000000001"/>
    <n v="0.32907149988339124"/>
    <x v="1"/>
    <x v="0"/>
    <s v="Clean"/>
  </r>
  <r>
    <s v="ORD-2024-10372"/>
    <d v="2024-01-22T00:00:00"/>
    <d v="2024-01-24T00:00:00"/>
    <n v="2"/>
    <s v="CUST-2204"/>
    <s v="Diya Patel"/>
    <x v="3"/>
    <x v="3"/>
    <s v="Maharashtra"/>
    <s v="Mumbai"/>
    <x v="0"/>
    <x v="2"/>
    <s v="Pro Art 906"/>
    <x v="3"/>
    <n v="6"/>
    <n v="1026.06"/>
    <n v="0"/>
    <n v="4617.2700000000004"/>
    <n v="2981.94"/>
    <n v="1635.33"/>
    <s v="Refunded"/>
    <x v="1"/>
    <n v="0"/>
    <n v="6156.36"/>
    <n v="3174.4199999999996"/>
    <n v="0.51563261407714944"/>
    <x v="9"/>
    <x v="0"/>
    <s v="Clean"/>
  </r>
  <r>
    <s v="ORD-2025-10373"/>
    <d v="2025-08-16T00:00:00"/>
    <d v="2025-08-18T00:00:00"/>
    <n v="2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s v="Paid"/>
    <x v="0"/>
    <n v="0"/>
    <n v="7651.7999999999993"/>
    <n v="2480.0199999999995"/>
    <n v="0.32410935988917638"/>
    <x v="1"/>
    <x v="1"/>
    <s v="Clean"/>
  </r>
  <r>
    <s v="ORD-2025-10374"/>
    <d v="2025-04-13T00:00:00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x v="0"/>
    <n v="0"/>
    <n v="10068.120000000001"/>
    <n v="1472.75"/>
    <n v="0.14627855051389932"/>
    <x v="5"/>
    <x v="1"/>
    <s v="Clean"/>
  </r>
  <r>
    <s v="ORD-2025-10375"/>
    <d v="2025-02-27T00:00:00"/>
    <d v="2025-02-28T00:00:00"/>
    <n v="1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s v="Paid"/>
    <x v="0"/>
    <n v="0"/>
    <n v="14359.5"/>
    <n v="6241.79"/>
    <n v="0.43468017688638183"/>
    <x v="6"/>
    <x v="1"/>
    <s v="Clean"/>
  </r>
  <r>
    <s v="ORD-2024-10376"/>
    <d v="2024-12-31T00:00:00"/>
    <d v="2025-01-04T00:00:00"/>
    <n v="4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s v="Paid"/>
    <x v="0"/>
    <n v="0.25"/>
    <n v="2624.8724999999999"/>
    <n v="370.99249999999984"/>
    <n v="0.14133734114704613"/>
    <x v="7"/>
    <x v="0"/>
    <s v="Clean"/>
  </r>
  <r>
    <s v="ORD-2024-10377"/>
    <d v="2024-12-29T00:00:00"/>
    <d v="2024-12-31T00:00:00"/>
    <n v="2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s v="Paid"/>
    <x v="0"/>
    <n v="0.2"/>
    <n v="8854.9440000000013"/>
    <n v="1420.9940000000015"/>
    <n v="0.1604746455765278"/>
    <x v="7"/>
    <x v="0"/>
    <s v="Clean"/>
  </r>
  <r>
    <s v="ORD-2025-10378"/>
    <d v="2025-05-24T00:00:00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x v="0"/>
    <n v="0"/>
    <n v="2564.7399999999998"/>
    <n v="810.15999999999985"/>
    <n v="0.31588387126960232"/>
    <x v="4"/>
    <x v="1"/>
    <s v="Clean"/>
  </r>
  <r>
    <s v="ORD-2025-10379"/>
    <d v="2025-05-22T00:00:00"/>
    <d v="2025-05-22T00:00:00"/>
    <n v="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s v="Paid"/>
    <x v="0"/>
    <n v="0"/>
    <n v="7821.22"/>
    <n v="2826.76"/>
    <n v="0.36142187535959863"/>
    <x v="4"/>
    <x v="1"/>
    <s v="Clean"/>
  </r>
  <r>
    <s v="ORD-2024-10380"/>
    <d v="2024-09-19T00:00:00"/>
    <d v="2024-09-23T00:00:00"/>
    <n v="4"/>
    <s v="CUST-6405"/>
    <s v="Mira Das"/>
    <x v="1"/>
    <x v="2"/>
    <s v="Kerala"/>
    <s v="Kochi"/>
    <x v="0"/>
    <x v="0"/>
    <s v="Max Paper 334"/>
    <x v="3"/>
    <n v="7"/>
    <n v="1136.68"/>
    <n v="0"/>
    <n v="7956.76"/>
    <n v="4799.54"/>
    <n v="3157.22"/>
    <s v="Paid"/>
    <x v="0"/>
    <n v="0"/>
    <n v="7956.76"/>
    <n v="3157.2200000000003"/>
    <n v="0.39679718880549369"/>
    <x v="11"/>
    <x v="0"/>
    <s v="Clean"/>
  </r>
  <r>
    <s v="ORD-2024-10381"/>
    <d v="2024-04-07T00:00:00"/>
    <d v="2024-04-14T00:00:00"/>
    <n v="7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s v="Paid"/>
    <x v="2"/>
    <n v="0.25"/>
    <n v="8384.4375"/>
    <n v="3618.4775"/>
    <n v="0.43157069272685256"/>
    <x v="5"/>
    <x v="0"/>
    <s v="Clean"/>
  </r>
  <r>
    <s v="ORD-2025-10382"/>
    <d v="2025-09-19T00:00:00"/>
    <d v="2025-09-23T00:00:00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x v="1"/>
    <n v="0.05"/>
    <n v="16671.169999999998"/>
    <n v="5837.9799999999977"/>
    <n v="0.35018418023450054"/>
    <x v="11"/>
    <x v="1"/>
    <s v="Clean"/>
  </r>
  <r>
    <s v="ORD-2025-10383"/>
    <d v="2025-03-04T00:00:00"/>
    <d v="2025-03-08T00:00:00"/>
    <n v="4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x v="0"/>
    <n v="0.2"/>
    <n v="10468.440000000002"/>
    <n v="2068.5700000000015"/>
    <n v="0.19760059760575607"/>
    <x v="10"/>
    <x v="1"/>
    <s v="Clean"/>
  </r>
  <r>
    <s v="ORD-2025-10384"/>
    <d v="2025-06-28T00:00:00"/>
    <d v="2025-07-05T00:00:00"/>
    <n v="7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s v="Paid"/>
    <x v="1"/>
    <n v="0"/>
    <n v="4485.5"/>
    <n v="1353.6399999999999"/>
    <n v="0.30178129528480657"/>
    <x v="2"/>
    <x v="1"/>
    <s v="Clean"/>
  </r>
  <r>
    <s v="ORD-2024-10385"/>
    <d v="2024-03-15T00:00:00"/>
    <d v="2024-03-20T00:00:00"/>
    <n v="5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s v="Paid"/>
    <x v="2"/>
    <n v="0.25"/>
    <n v="2822.1000000000004"/>
    <n v="1197.5300000000004"/>
    <n v="0.42434003047376079"/>
    <x v="10"/>
    <x v="0"/>
    <s v="Clean"/>
  </r>
  <r>
    <s v="ORD-2025-10386"/>
    <d v="2025-06-24T00:00:00"/>
    <d v="2025-06-30T00:00:00"/>
    <n v="6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s v="Paid"/>
    <x v="0"/>
    <n v="0.1"/>
    <n v="1975.104"/>
    <n v="859.75400000000013"/>
    <n v="0.4352955591199249"/>
    <x v="2"/>
    <x v="1"/>
    <s v="Clean"/>
  </r>
  <r>
    <s v="ORD-2025-10387"/>
    <d v="2025-02-12T00:00:00"/>
    <d v="2025-02-14T00:00:00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s v="Paid"/>
    <x v="0"/>
    <n v="0.1"/>
    <n v="20063.952000000001"/>
    <n v="5700.5720000000019"/>
    <n v="0.2841200975759911"/>
    <x v="6"/>
    <x v="1"/>
    <s v="Clean"/>
  </r>
  <r>
    <s v="ORD-2025-10388"/>
    <d v="2025-10-08T00:00:00"/>
    <d v="2025-08-13T00:00:00"/>
    <n v="-56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s v="Pending"/>
    <x v="1"/>
    <n v="0"/>
    <n v="1764.3000000000002"/>
    <n v="431.81000000000017"/>
    <n v="0.24474862551720236"/>
    <x v="8"/>
    <x v="1"/>
    <s v="Warning"/>
  </r>
  <r>
    <s v="ORD-2024-10389"/>
    <d v="2024-05-13T00:00:00"/>
    <d v="2024-05-18T00:00:00"/>
    <n v="5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s v="Paid"/>
    <x v="0"/>
    <n v="0"/>
    <n v="9385.77"/>
    <n v="2513.3300000000008"/>
    <n v="0.26778090662779941"/>
    <x v="4"/>
    <x v="0"/>
    <s v="Clean"/>
  </r>
  <r>
    <s v="ORD-2024-10390"/>
    <d v="2024-04-05T00:00:00"/>
    <d v="2024-04-13T00:00:00"/>
    <n v="8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s v="Pending"/>
    <x v="1"/>
    <n v="0.2"/>
    <n v="7750.1600000000008"/>
    <n v="2315.8600000000006"/>
    <n v="0.29881447608823564"/>
    <x v="5"/>
    <x v="0"/>
    <s v="Clean"/>
  </r>
  <r>
    <s v="ORD-2024-10391"/>
    <d v="2024-11-06T00:00:00"/>
    <d v="2024-11-11T00:00:00"/>
    <n v="5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s v="Paid"/>
    <x v="0"/>
    <n v="0.2"/>
    <n v="6135.232"/>
    <n v="2695.442"/>
    <n v="0.43933823529411764"/>
    <x v="3"/>
    <x v="0"/>
    <s v="Clean"/>
  </r>
  <r>
    <s v="ORD-2025-10392"/>
    <d v="2025-02-14T00:00:00"/>
    <d v="2025-02-14T00:00:00"/>
    <n v="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s v="Paid"/>
    <x v="0"/>
    <n v="0"/>
    <n v="714.43"/>
    <n v="148.9899999999999"/>
    <n v="0.20854387413742412"/>
    <x v="6"/>
    <x v="1"/>
    <s v="Clean"/>
  </r>
  <r>
    <s v="ORD-2024-10393"/>
    <d v="2024-02-19T00:00:00"/>
    <d v="2024-02-22T00:00:00"/>
    <n v="3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s v="Paid"/>
    <x v="0"/>
    <n v="0"/>
    <n v="36477.090000000004"/>
    <n v="11951.610000000004"/>
    <n v="0.32764702447481425"/>
    <x v="6"/>
    <x v="0"/>
    <s v="Clean"/>
  </r>
  <r>
    <s v="ORD-2024-10394"/>
    <d v="2024-08-23T00:00:00"/>
    <d v="2024-08-29T00:00:00"/>
    <n v="6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s v="Paid"/>
    <x v="0"/>
    <n v="0.05"/>
    <n v="3680.1289999999999"/>
    <n v="712.66899999999987"/>
    <n v="0.19365326595888346"/>
    <x v="1"/>
    <x v="0"/>
    <s v="Clean"/>
  </r>
  <r>
    <s v="ORD-2024-10395"/>
    <d v="2024-03-04T00:00:00"/>
    <d v="2024-04-04T00:00:00"/>
    <n v="31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s v="Paid"/>
    <x v="0"/>
    <n v="0"/>
    <n v="27616.47"/>
    <n v="6391.2100000000028"/>
    <n v="0.23142747787823725"/>
    <x v="10"/>
    <x v="0"/>
    <s v="Clean"/>
  </r>
  <r>
    <s v="ORD-2024-10396"/>
    <d v="2024-06-06T00:00:00"/>
    <d v="2024-06-07T00:00:00"/>
    <n v="1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s v="Paid"/>
    <x v="0"/>
    <n v="0.05"/>
    <n v="5731.7014999999992"/>
    <n v="1616.1414999999988"/>
    <n v="0.28196539893084088"/>
    <x v="2"/>
    <x v="0"/>
    <s v="Clean"/>
  </r>
  <r>
    <s v="ORD-2025-10397"/>
    <d v="2025-04-14T00:00:00"/>
    <d v="2025-04-22T00:00:00"/>
    <n v="8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s v="Paid"/>
    <x v="0"/>
    <n v="0.05"/>
    <n v="1213.587"/>
    <n v="257.36699999999996"/>
    <n v="0.21207132245154239"/>
    <x v="5"/>
    <x v="1"/>
    <s v="Clean"/>
  </r>
  <r>
    <s v="ORD-2025-10398"/>
    <d v="2025-06-09T00:00:00"/>
    <d v="2025-06-10T00:00:00"/>
    <n v="1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s v="Paid"/>
    <x v="0"/>
    <n v="0"/>
    <n v="3463.76"/>
    <n v="1320.0200000000004"/>
    <n v="0.38109453310852959"/>
    <x v="2"/>
    <x v="1"/>
    <s v="Clean"/>
  </r>
  <r>
    <s v="ORD-2024-10399"/>
    <d v="2024-07-19T00:00:00"/>
    <d v="2024-07-26T00:00:00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s v="Paid"/>
    <x v="0"/>
    <n v="0.2"/>
    <n v="2021.8400000000001"/>
    <n v="666.62000000000012"/>
    <n v="0.32970957147944452"/>
    <x v="0"/>
    <x v="0"/>
    <s v="Clean"/>
  </r>
  <r>
    <s v="ORD-2025-10400"/>
    <d v="2025-04-24T00:00:00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x v="0"/>
    <n v="0.25"/>
    <n v="3268.875"/>
    <n v="1275.135"/>
    <n v="0.39008374440747962"/>
    <x v="5"/>
    <x v="1"/>
    <s v="Clean"/>
  </r>
  <r>
    <s v="ORD-2025-10401"/>
    <d v="2025-06-06T00:00:00"/>
    <d v="2025-06-11T00:00:00"/>
    <n v="5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s v="Paid"/>
    <x v="0"/>
    <n v="-0.1"/>
    <n v="6761.2930000000006"/>
    <n v="1883.9130000000005"/>
    <n v="0.27863206046535777"/>
    <x v="2"/>
    <x v="1"/>
    <s v="Invalid"/>
  </r>
  <r>
    <s v="ORD-2025-10402"/>
    <d v="2025-03-09T00:00:00"/>
    <d v="2025-03-16T00:00:00"/>
    <n v="7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s v="Paid"/>
    <x v="0"/>
    <n v="0"/>
    <n v="7877.5499999999993"/>
    <n v="2314.7799999999988"/>
    <n v="0.29384516759652418"/>
    <x v="10"/>
    <x v="1"/>
    <s v="Clean"/>
  </r>
  <r>
    <s v="ORD-2024-10403"/>
    <d v="2024-03-22T00:00:00"/>
    <d v="2024-03-22T00:00:00"/>
    <n v="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s v="Paid"/>
    <x v="0"/>
    <n v="0"/>
    <n v="4095.7799999999997"/>
    <n v="1288.0099999999998"/>
    <n v="0.31447245701673426"/>
    <x v="10"/>
    <x v="0"/>
    <s v="Clean"/>
  </r>
  <r>
    <s v="ORD-2024-10404"/>
    <d v="2024-09-30T00:00:00"/>
    <d v="2024-04-10T00:00:00"/>
    <n v="-173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s v="Paid"/>
    <x v="2"/>
    <n v="0.05"/>
    <n v="16683.1875"/>
    <n v="6382.0275000000001"/>
    <n v="0.38254245479168775"/>
    <x v="11"/>
    <x v="0"/>
    <s v="Warning"/>
  </r>
  <r>
    <s v="ORD-2024-10405"/>
    <d v="2024-01-27T00:00:00"/>
    <d v="2024-02-03T00:00:00"/>
    <n v="7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s v="Paid"/>
    <x v="0"/>
    <n v="0"/>
    <n v="1078.83"/>
    <n v="152.4799999999999"/>
    <n v="0.14133830167867034"/>
    <x v="9"/>
    <x v="0"/>
    <s v="Clean"/>
  </r>
  <r>
    <s v="ORD-2024-10406"/>
    <d v="2024-09-23T00:00:00"/>
    <d v="2024-09-24T00:00:00"/>
    <n v="1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s v="Paid"/>
    <x v="0"/>
    <n v="0.1"/>
    <n v="24431.463"/>
    <n v="6229.1029999999992"/>
    <n v="0.25496234097810677"/>
    <x v="11"/>
    <x v="0"/>
    <s v="Clean"/>
  </r>
  <r>
    <s v="ORD-2025-10407"/>
    <d v="2025-02-25T00:00:00"/>
    <d v="2025-02-25T00:00:00"/>
    <n v="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s v="Pending"/>
    <x v="2"/>
    <n v="0.25"/>
    <n v="5886.2999999999993"/>
    <n v="2264.5399999999991"/>
    <n v="0.38471365713606159"/>
    <x v="6"/>
    <x v="1"/>
    <s v="Clean"/>
  </r>
  <r>
    <s v="ORD-2024-10408"/>
    <d v="2024-05-12T00:00:00"/>
    <d v="2024-05-13T00:00:00"/>
    <n v="1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s v="Paid"/>
    <x v="0"/>
    <n v="0"/>
    <n v="7933.6500000000005"/>
    <n v="2235.2300000000005"/>
    <n v="0.2817404347305465"/>
    <x v="4"/>
    <x v="0"/>
    <s v="Clean"/>
  </r>
  <r>
    <s v="ORD-2025-10409"/>
    <d v="2025-08-01T00:00:00"/>
    <d v="2025-08-03T00:00:00"/>
    <n v="2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s v="Failed"/>
    <x v="2"/>
    <n v="0"/>
    <n v="7093.84"/>
    <n v="2506.3500000000004"/>
    <n v="0.35331357910525191"/>
    <x v="1"/>
    <x v="1"/>
    <s v="Clean"/>
  </r>
  <r>
    <s v="ORD-2025-10410"/>
    <d v="2025-02-13T00:00:00"/>
    <d v="2025-02-15T00:00:00"/>
    <n v="2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s v="Refunded"/>
    <x v="2"/>
    <n v="0.25"/>
    <n v="2269.0950000000003"/>
    <n v="675.50500000000034"/>
    <n v="0.29769798091309541"/>
    <x v="6"/>
    <x v="1"/>
    <s v="Clean"/>
  </r>
  <r>
    <s v="ORD-2024-10411"/>
    <d v="2024-04-12T00:00:00"/>
    <d v="2024-04-20T00:00:00"/>
    <n v="8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s v="Paid"/>
    <x v="0"/>
    <n v="0.2"/>
    <n v="9378.7919999999995"/>
    <n v="2604.3119999999999"/>
    <n v="0.27768096360384154"/>
    <x v="5"/>
    <x v="0"/>
    <s v="Clean"/>
  </r>
  <r>
    <s v="ORD-2025-10412"/>
    <d v="2025-08-23T00:00:00"/>
    <d v="2025-08-28T00:00:00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s v="Failed"/>
    <x v="2"/>
    <n v="0.2"/>
    <n v="3334.2480000000005"/>
    <n v="565.47800000000052"/>
    <n v="0.16959686262089696"/>
    <x v="1"/>
    <x v="1"/>
    <s v="Clean"/>
  </r>
  <r>
    <s v="ORD-2024-10413"/>
    <d v="2024-01-22T00:00:00"/>
    <d v="2024-01-30T00:00:00"/>
    <n v="8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s v="Paid"/>
    <x v="0"/>
    <n v="0.25"/>
    <n v="1583.5425"/>
    <n v="569.35249999999996"/>
    <n v="0.35954355503562424"/>
    <x v="9"/>
    <x v="0"/>
    <s v="Clean"/>
  </r>
  <r>
    <s v="ORD-2025-10414"/>
    <d v="2025-08-13T00:00:00"/>
    <d v="2025-08-17T00:00:00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s v="Pending"/>
    <x v="1"/>
    <n v="0"/>
    <n v="15345.84"/>
    <n v="4610.51"/>
    <n v="0.30044037993358463"/>
    <x v="1"/>
    <x v="1"/>
    <s v="Clean"/>
  </r>
  <r>
    <s v="ORD-2024-10415"/>
    <d v="2024-08-29T00:00:00"/>
    <d v="2024-08-30T00:00:00"/>
    <n v="1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s v="Paid"/>
    <x v="0"/>
    <n v="0.05"/>
    <n v="9439.503999999999"/>
    <n v="3920.1139999999987"/>
    <n v="0.41528813378330037"/>
    <x v="1"/>
    <x v="0"/>
    <s v="Clean"/>
  </r>
  <r>
    <s v="ORD-2024-10416"/>
    <d v="2024-01-25T00:00:00"/>
    <d v="2024-01-27T00:00:00"/>
    <n v="2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x v="2"/>
    <n v="0.15"/>
    <n v="10277.197"/>
    <n v="2370.6970000000001"/>
    <n v="0.23067544584384245"/>
    <x v="9"/>
    <x v="0"/>
    <s v="Clean"/>
  </r>
  <r>
    <s v="ORD-2025-10417"/>
    <d v="2025-01-08T00:00:00"/>
    <d v="2025-01-16T00:00:00"/>
    <n v="8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s v="Paid"/>
    <x v="0"/>
    <n v="0.25"/>
    <n v="3833.7000000000003"/>
    <n v="947.35000000000036"/>
    <n v="0.24711114589039318"/>
    <x v="9"/>
    <x v="1"/>
    <s v="Clean"/>
  </r>
  <r>
    <s v="ORD-2025-10418"/>
    <d v="2025-01-29T00:00:00"/>
    <d v="2025-02-05T00:00:00"/>
    <n v="7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s v="Paid"/>
    <x v="0"/>
    <n v="0.2"/>
    <n v="18542.400000000001"/>
    <n v="7348.6500000000015"/>
    <n v="0.39631601087237905"/>
    <x v="9"/>
    <x v="1"/>
    <s v="Clean"/>
  </r>
  <r>
    <s v="ORD-2024-10419"/>
    <d v="2024-11-09T00:00:00"/>
    <d v="2024-11-17T00:00:00"/>
    <n v="8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s v="Failed"/>
    <x v="1"/>
    <n v="0"/>
    <n v="21962.400000000001"/>
    <n v="6630.4100000000017"/>
    <n v="0.3018982442720286"/>
    <x v="3"/>
    <x v="0"/>
    <s v="Clean"/>
  </r>
  <r>
    <s v="ORD-2025-10420"/>
    <d v="2025-09-26T00:00:00"/>
    <d v="2025-09-30T00:00:00"/>
    <n v="4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s v="Paid"/>
    <x v="0"/>
    <n v="0.05"/>
    <n v="1308.777"/>
    <n v="465.77700000000004"/>
    <n v="0.35588721378813964"/>
    <x v="11"/>
    <x v="1"/>
    <s v="Clean"/>
  </r>
  <r>
    <s v="ORD-2025-10421"/>
    <d v="2025-03-18T00:00:00"/>
    <d v="2025-03-19T00:00:00"/>
    <n v="1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s v="Pending"/>
    <x v="1"/>
    <n v="0.25"/>
    <n v="1814.9850000000001"/>
    <n v="694.92500000000018"/>
    <n v="0.38288195219244242"/>
    <x v="10"/>
    <x v="1"/>
    <s v="Clean"/>
  </r>
  <r>
    <s v="ORD-2025-10422"/>
    <d v="2025-06-14T00:00:00"/>
    <d v="2025-06-19T00:00:00"/>
    <n v="5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s v="Pending"/>
    <x v="2"/>
    <n v="0.2"/>
    <n v="2489.8800000000006"/>
    <n v="782.36000000000058"/>
    <n v="0.31421594615001541"/>
    <x v="2"/>
    <x v="1"/>
    <s v="Clean"/>
  </r>
  <r>
    <s v="ORD-2025-10423"/>
    <d v="2025-09-03T00:00:00"/>
    <d v="2025-09-06T00:00:00"/>
    <n v="3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s v="Paid"/>
    <x v="0"/>
    <n v="0.15"/>
    <n v="4098.6574999999993"/>
    <n v="1420.5974999999994"/>
    <n v="0.34660068571233377"/>
    <x v="11"/>
    <x v="1"/>
    <s v="Clean"/>
  </r>
  <r>
    <s v="ORD-2024-10424"/>
    <d v="2024-02-20T00:00:0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s v="Paid"/>
    <x v="0"/>
    <n v="0.2"/>
    <n v="27211.032000000003"/>
    <n v="9270.6020000000026"/>
    <n v="0.34069277490100347"/>
    <x v="6"/>
    <x v="0"/>
    <s v="Clean"/>
  </r>
  <r>
    <s v="ORD-2024-10425"/>
    <d v="2024-06-26T00:00:00"/>
    <d v="2024-06-29T00:00:00"/>
    <n v="3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s v="Paid"/>
    <x v="0"/>
    <n v="0"/>
    <n v="6436.16"/>
    <n v="2172.33"/>
    <n v="0.33751957689056827"/>
    <x v="2"/>
    <x v="0"/>
    <s v="Clean"/>
  </r>
  <r>
    <s v="ORD-2024-10426"/>
    <d v="2024-09-26T00:00:00"/>
    <d v="2024-09-27T00:00:00"/>
    <n v="1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s v="Refunded"/>
    <x v="1"/>
    <n v="0.1"/>
    <n v="1918.2420000000002"/>
    <n v="544.72200000000021"/>
    <n v="0.2839693844676533"/>
    <x v="11"/>
    <x v="0"/>
    <s v="Clean"/>
  </r>
  <r>
    <s v="ORD-2024-10427"/>
    <d v="2024-06-30T00:00:00"/>
    <d v="2024-01-07T00:00:00"/>
    <n v="-175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x v="0"/>
    <n v="0.1"/>
    <n v="27047.952000000001"/>
    <n v="8616.6219999999994"/>
    <n v="0.31856837072174626"/>
    <x v="2"/>
    <x v="0"/>
    <s v="Warning"/>
  </r>
  <r>
    <s v="ORD-2025-10428"/>
    <d v="2025-04-22T00:00:00"/>
    <d v="2025-04-24T00:00:00"/>
    <n v="2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x v="0"/>
    <n v="0"/>
    <n v="26454.959999999999"/>
    <n v="8824.7099999999991"/>
    <n v="0.33357487594008833"/>
    <x v="5"/>
    <x v="1"/>
    <s v="Clean"/>
  </r>
  <r>
    <s v="ORD-2025-10429"/>
    <d v="2025-03-15T00:00:00"/>
    <d v="2025-03-22T00:00:00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s v="Pending"/>
    <x v="1"/>
    <n v="0.25"/>
    <n v="1853.895"/>
    <n v="752.66499999999996"/>
    <n v="0.40599116994220275"/>
    <x v="10"/>
    <x v="1"/>
    <s v="Clean"/>
  </r>
  <r>
    <s v="ORD-2025-10430"/>
    <d v="2025-03-01T00:00:00"/>
    <d v="2025-08-03T00:00:00"/>
    <n v="155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s v="Paid"/>
    <x v="0"/>
    <n v="0.25"/>
    <n v="17658.599999999999"/>
    <n v="3816.119999999999"/>
    <n v="0.2161054670245659"/>
    <x v="10"/>
    <x v="1"/>
    <s v="Clean"/>
  </r>
  <r>
    <s v="ORD-2024-10431"/>
    <d v="2024-08-30T00:00:00"/>
    <d v="2024-02-09T00:00:00"/>
    <n v="-203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s v="Paid"/>
    <x v="0"/>
    <n v="0.15"/>
    <n v="3672.7139999999999"/>
    <n v="958.48399999999992"/>
    <n v="0.26097430946161337"/>
    <x v="1"/>
    <x v="0"/>
    <s v="Warning"/>
  </r>
  <r>
    <s v="ORD-2024-10432"/>
    <d v="2024-02-10T00:00:00"/>
    <d v="2024-02-13T00:00:00"/>
    <n v="3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s v="Paid"/>
    <x v="0"/>
    <n v="0.25"/>
    <n v="6177.6749999999993"/>
    <n v="1656.9249999999993"/>
    <n v="0.26821174632851347"/>
    <x v="6"/>
    <x v="0"/>
    <s v="Clean"/>
  </r>
  <r>
    <s v="ORD-2024-10433"/>
    <d v="2024-08-29T00:00:00"/>
    <d v="2024-02-09T00:00:00"/>
    <n v="-202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s v="Paid"/>
    <x v="0"/>
    <n v="0.05"/>
    <n v="985.07400000000007"/>
    <n v="140.59400000000005"/>
    <n v="0.14272430294576857"/>
    <x v="1"/>
    <x v="0"/>
    <s v="Warning"/>
  </r>
  <r>
    <s v="ORD-2024-10434"/>
    <d v="2024-04-19T00:00:00"/>
    <d v="2024-04-20T00:00:00"/>
    <n v="1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s v="Refunded"/>
    <x v="2"/>
    <n v="0"/>
    <n v="6160.88"/>
    <n v="1222.1800000000003"/>
    <n v="0.19837750451234243"/>
    <x v="5"/>
    <x v="0"/>
    <s v="Clean"/>
  </r>
  <r>
    <s v="ORD-2025-10435"/>
    <d v="2025-04-11T00:00:00"/>
    <d v="2025-04-15T00:00:00"/>
    <n v="4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s v="Paid"/>
    <x v="0"/>
    <n v="0"/>
    <n v="3263.8999999999996"/>
    <n v="1195.4599999999996"/>
    <n v="0.3662673488771101"/>
    <x v="5"/>
    <x v="1"/>
    <s v="Clean"/>
  </r>
  <r>
    <s v="ORD-2025-10436"/>
    <d v="2025-04-12T00:00:00"/>
    <d v="2025-04-20T00:00:00"/>
    <n v="8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s v="Paid"/>
    <x v="1"/>
    <n v="0.15"/>
    <n v="2327.0535"/>
    <n v="407.63349999999991"/>
    <n v="0.17517152055163318"/>
    <x v="5"/>
    <x v="1"/>
    <s v="Clean"/>
  </r>
  <r>
    <s v="ORD-2024-10437"/>
    <d v="2024-06-16T00:00:00"/>
    <d v="2024-06-21T00:00:00"/>
    <n v="5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x v="2"/>
    <n v="0.05"/>
    <n v="6593.6459999999997"/>
    <n v="2234.2559999999994"/>
    <n v="0.33884985636171544"/>
    <x v="2"/>
    <x v="0"/>
    <s v="Clean"/>
  </r>
  <r>
    <s v="ORD-2024-10438"/>
    <d v="2024-02-15T00:00:00"/>
    <d v="2024-02-18T00:00:00"/>
    <n v="3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s v="Failed"/>
    <x v="2"/>
    <n v="0.05"/>
    <n v="2886.6319999999996"/>
    <n v="1298.4019999999996"/>
    <n v="0.44979824238073984"/>
    <x v="6"/>
    <x v="0"/>
    <s v="Clean"/>
  </r>
  <r>
    <s v="ORD-2025-10439"/>
    <d v="2025-05-07T00:00:00"/>
    <d v="2025-05-05T00:00:00"/>
    <n v="-2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s v="Paid"/>
    <x v="0"/>
    <n v="0.2"/>
    <n v="1813.1759999999999"/>
    <n v="449.53599999999983"/>
    <n v="0.24792739370033567"/>
    <x v="4"/>
    <x v="1"/>
    <s v="Warning"/>
  </r>
  <r>
    <s v="ORD-2025-10440"/>
    <d v="2025-06-30T00:00:00"/>
    <d v="2025-07-03T00:00:00"/>
    <n v="3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s v="Refunded"/>
    <x v="2"/>
    <n v="0"/>
    <n v="3326.25"/>
    <n v="636.88999999999987"/>
    <n v="0.19147388199924836"/>
    <x v="2"/>
    <x v="1"/>
    <s v="Clean"/>
  </r>
  <r>
    <s v="ORD-2024-10441"/>
    <d v="2024-04-02T00:00:00"/>
    <d v="2024-04-08T00:00:00"/>
    <n v="6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s v="Paid"/>
    <x v="0"/>
    <n v="0.2"/>
    <n v="17869.632000000001"/>
    <n v="5705.8320000000022"/>
    <n v="0.31930327384469931"/>
    <x v="5"/>
    <x v="0"/>
    <s v="Clean"/>
  </r>
  <r>
    <s v="ORD-2024-10442"/>
    <d v="2024-03-10T00:00:00"/>
    <d v="2024-10-03T00:00:00"/>
    <n v="207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s v="Paid"/>
    <x v="1"/>
    <n v="0"/>
    <n v="25304.94"/>
    <n v="4532.989999999998"/>
    <n v="0.17913458795002077"/>
    <x v="10"/>
    <x v="0"/>
    <s v="Clean"/>
  </r>
  <r>
    <s v="ORD-2025-10443"/>
    <d v="2025-01-12T00:00:00"/>
    <d v="2025-01-19T00:00:00"/>
    <n v="7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s v="Paid"/>
    <x v="0"/>
    <n v="0"/>
    <n v="1842.31"/>
    <n v="823.14"/>
    <n v="0.44679777019068451"/>
    <x v="9"/>
    <x v="1"/>
    <s v="Clean"/>
  </r>
  <r>
    <s v="ORD-2024-10444"/>
    <d v="2024-04-04T00:00:00"/>
    <d v="2024-04-07T00:00:00"/>
    <n v="3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s v="Paid"/>
    <x v="0"/>
    <n v="0.1"/>
    <n v="3315.375"/>
    <n v="967.69500000000016"/>
    <n v="0.29188100893564084"/>
    <x v="5"/>
    <x v="0"/>
    <s v="Clean"/>
  </r>
  <r>
    <s v="ORD-2025-10445"/>
    <d v="2025-08-12T00:00:00"/>
    <d v="2025-08-16T00:00:00"/>
    <n v="4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s v="Paid"/>
    <x v="0"/>
    <n v="0.05"/>
    <n v="20342.501999999997"/>
    <n v="7934.9919999999966"/>
    <n v="0.39006961877157481"/>
    <x v="1"/>
    <x v="1"/>
    <s v="Clean"/>
  </r>
  <r>
    <s v="ORD-2024-10446"/>
    <d v="2024-05-09T00:00:00"/>
    <d v="2024-05-05T00:00:00"/>
    <n v="-4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s v="Paid"/>
    <x v="0"/>
    <n v="0.2"/>
    <n v="3377.9680000000003"/>
    <n v="881.67800000000034"/>
    <n v="0.26100839321154029"/>
    <x v="4"/>
    <x v="0"/>
    <s v="Warning"/>
  </r>
  <r>
    <s v="ORD-2025-10447"/>
    <d v="2025-09-18T00:00:00"/>
    <d v="2025-09-19T00:00:00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x v="0"/>
    <n v="0"/>
    <n v="33940.080000000002"/>
    <n v="10185.890000000003"/>
    <n v="0.30011390662603044"/>
    <x v="11"/>
    <x v="1"/>
    <s v="Clean"/>
  </r>
  <r>
    <s v="ORD-2025-10448"/>
    <d v="2025-10-08T00:00:00"/>
    <d v="2025-08-10T00:00:00"/>
    <n v="-59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s v="Pending"/>
    <x v="2"/>
    <n v="0.15"/>
    <n v="21872.369999999995"/>
    <n v="8042.8699999999953"/>
    <n v="0.36771826738483288"/>
    <x v="8"/>
    <x v="1"/>
    <s v="Warning"/>
  </r>
  <r>
    <s v="ORD-2024-10449"/>
    <d v="2024-01-15T00:00:00"/>
    <d v="2024-01-18T00:00:00"/>
    <n v="3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x v="0"/>
    <n v="0.15"/>
    <n v="342.05700000000002"/>
    <n v="97.487000000000023"/>
    <n v="0.28500220723446684"/>
    <x v="9"/>
    <x v="0"/>
    <s v="Clean"/>
  </r>
  <r>
    <s v="ORD-2024-10450"/>
    <d v="2024-06-06T00:00:00"/>
    <d v="2024-06-13T00:00:00"/>
    <n v="7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s v="Paid"/>
    <x v="0"/>
    <n v="0"/>
    <n v="19622.16"/>
    <n v="5350.8899999999994"/>
    <n v="0.27269627808559299"/>
    <x v="2"/>
    <x v="0"/>
    <s v="Clean"/>
  </r>
  <r>
    <s v="ORD-2025-10451"/>
    <d v="2025-06-12T00:00:00"/>
    <d v="2025-06-19T00:00:00"/>
    <n v="7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x v="0"/>
    <n v="0.25"/>
    <n v="15380.3475"/>
    <n v="5472.9774999999991"/>
    <n v="0.35584225258889624"/>
    <x v="2"/>
    <x v="1"/>
    <s v="Clean"/>
  </r>
  <r>
    <s v="ORD-2024-10452"/>
    <d v="2024-03-24T00:00:00"/>
    <d v="2024-03-26T00:00:00"/>
    <n v="2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s v="Paid"/>
    <x v="1"/>
    <n v="0.15"/>
    <n v="13039.952000000001"/>
    <n v="1912.1320000000014"/>
    <n v="0.1466364293365498"/>
    <x v="10"/>
    <x v="0"/>
    <s v="Clean"/>
  </r>
  <r>
    <s v="ORD-2024-10453"/>
    <d v="2024-10-05T00:00:00"/>
    <d v="2024-05-16T00:00:00"/>
    <n v="-142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s v="Paid"/>
    <x v="0"/>
    <n v="0.2"/>
    <n v="9663.9840000000004"/>
    <n v="4035.0540000000001"/>
    <n v="0.41753525254180884"/>
    <x v="8"/>
    <x v="0"/>
    <s v="Warning"/>
  </r>
  <r>
    <s v="ORD-2025-10454"/>
    <d v="2025-05-03T00:00:00"/>
    <d v="2025-05-11T00:00:00"/>
    <n v="8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x v="0"/>
    <n v="0"/>
    <n v="7417.6"/>
    <n v="2461.7400000000007"/>
    <n v="0.3318782355478862"/>
    <x v="4"/>
    <x v="1"/>
    <s v="Clean"/>
  </r>
  <r>
    <s v="ORD-2025-10455"/>
    <d v="2025-03-23T00:00:00"/>
    <d v="2025-03-28T00:00:00"/>
    <n v="5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s v="Paid"/>
    <x v="0"/>
    <n v="0.15"/>
    <n v="25229.7"/>
    <n v="5059.2700000000004"/>
    <n v="0.20052834556098567"/>
    <x v="10"/>
    <x v="1"/>
    <s v="Clean"/>
  </r>
  <r>
    <s v="ORD-2024-10456"/>
    <d v="2024-07-18T00:00:00"/>
    <d v="2024-07-22T00:00:00"/>
    <n v="4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s v="Paid"/>
    <x v="0"/>
    <n v="0"/>
    <n v="3235.08"/>
    <n v="1386.48"/>
    <n v="0.42857672762342819"/>
    <x v="0"/>
    <x v="0"/>
    <s v="Clean"/>
  </r>
  <r>
    <s v="ORD-2024-10457"/>
    <d v="2024-02-20T00:00:00"/>
    <d v="2024-02-20T00:00:0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s v="Paid"/>
    <x v="2"/>
    <n v="0.15"/>
    <n v="11070.867499999998"/>
    <n v="4447.2574999999988"/>
    <n v="0.40170813172499803"/>
    <x v="6"/>
    <x v="0"/>
    <s v="Clean"/>
  </r>
  <r>
    <s v="ORD-2024-10458"/>
    <d v="2024-05-04T00:00:00"/>
    <d v="2024-05-04T00:00:00"/>
    <n v="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s v="Paid"/>
    <x v="0"/>
    <n v="0"/>
    <n v="19960.57"/>
    <n v="3356.9700000000012"/>
    <n v="0.1681800670020947"/>
    <x v="4"/>
    <x v="0"/>
    <s v="Clean"/>
  </r>
  <r>
    <s v="ORD-2024-10459"/>
    <d v="2024-02-10T00:00:00"/>
    <d v="2024-02-11T00:00:00"/>
    <n v="1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s v="Paid"/>
    <x v="0"/>
    <n v="0.1"/>
    <n v="8596.0439999999999"/>
    <n v="3217.884"/>
    <n v="0.37434475672762962"/>
    <x v="6"/>
    <x v="0"/>
    <s v="Clean"/>
  </r>
  <r>
    <s v="ORD-2024-10460"/>
    <d v="2024-03-28T00:00:00"/>
    <d v="2024-04-04T00:00:00"/>
    <n v="7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s v="Paid"/>
    <x v="0"/>
    <n v="0"/>
    <n v="3452.76"/>
    <n v="1374.8000000000002"/>
    <n v="0.39817421425178701"/>
    <x v="10"/>
    <x v="0"/>
    <s v="Clean"/>
  </r>
  <r>
    <s v="ORD-2025-10461"/>
    <d v="2025-09-30T00:00:00"/>
    <d v="2025-10-06T00:00:00"/>
    <n v="6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s v="Paid"/>
    <x v="0"/>
    <n v="0.05"/>
    <n v="11626.974000000002"/>
    <n v="4232.9040000000023"/>
    <n v="0.36405895463428417"/>
    <x v="11"/>
    <x v="1"/>
    <s v="Clean"/>
  </r>
  <r>
    <s v="ORD-2025-10462"/>
    <d v="2025-05-25T00:00:00"/>
    <d v="2025-05-26T00:00:00"/>
    <n v="1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s v="Paid"/>
    <x v="0"/>
    <n v="0.15"/>
    <n v="8614.2825000000012"/>
    <n v="1562.2025000000012"/>
    <n v="0.18135027496486225"/>
    <x v="4"/>
    <x v="1"/>
    <s v="Clean"/>
  </r>
  <r>
    <s v="ORD-2024-10463"/>
    <d v="2024-09-23T00:00:00"/>
    <d v="2024-09-25T00:00:00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s v="Paid"/>
    <x v="0"/>
    <n v="0.2"/>
    <n v="2040.2240000000002"/>
    <n v="644.51400000000012"/>
    <n v="0.31590354784572677"/>
    <x v="11"/>
    <x v="0"/>
    <s v="Clean"/>
  </r>
  <r>
    <s v="ORD-2025-10464"/>
    <d v="2025-07-02T00:00:00"/>
    <d v="2025-02-08T00:00:00"/>
    <n v="-144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s v="Paid"/>
    <x v="0"/>
    <n v="0.2"/>
    <n v="2846.4"/>
    <n v="714.0300000000002"/>
    <n v="0.25085370994940986"/>
    <x v="0"/>
    <x v="1"/>
    <s v="Warning"/>
  </r>
  <r>
    <s v="ORD-2025-10465"/>
    <d v="2025-11-03T00:00:00"/>
    <d v="2025-03-15T00:00:00"/>
    <n v="-233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s v="Pending"/>
    <x v="1"/>
    <n v="0.05"/>
    <n v="10331.477999999999"/>
    <n v="3199.5679999999993"/>
    <n v="0.30969121746181905"/>
    <x v="3"/>
    <x v="1"/>
    <s v="Warning"/>
  </r>
  <r>
    <s v="ORD-2024-10466"/>
    <d v="2024-01-29T00:00:00"/>
    <d v="2024-02-06T00:00:00"/>
    <n v="8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x v="0"/>
    <n v="0"/>
    <n v="2517.8000000000002"/>
    <n v="1039.2600000000002"/>
    <n v="0.41276511239971408"/>
    <x v="9"/>
    <x v="0"/>
    <s v="Clean"/>
  </r>
  <r>
    <s v="ORD-2024-10467"/>
    <d v="2024-04-01T00:00:00"/>
    <d v="2024-01-08T00:00:00"/>
    <n v="-84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s v="Paid"/>
    <x v="0"/>
    <n v="0.2"/>
    <n v="11462.112000000001"/>
    <n v="4356.6320000000014"/>
    <n v="0.38008981241851425"/>
    <x v="5"/>
    <x v="0"/>
    <s v="Warning"/>
  </r>
  <r>
    <s v="ORD-2024-10468"/>
    <d v="2024-08-20T00:00:00"/>
    <d v="2024-08-21T00:00:00"/>
    <n v="1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s v="Refunded"/>
    <x v="1"/>
    <n v="0.1"/>
    <n v="19297.485000000001"/>
    <n v="3845.8250000000007"/>
    <n v="0.1992915138941681"/>
    <x v="1"/>
    <x v="0"/>
    <s v="Clean"/>
  </r>
  <r>
    <s v="ORD-2025-10469"/>
    <d v="2025-01-09T00:00:00"/>
    <d v="2025-01-07T00:00:00"/>
    <n v="-2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s v="Paid"/>
    <x v="0"/>
    <n v="0"/>
    <n v="6564.99"/>
    <n v="1157.75"/>
    <n v="0.17635213458055535"/>
    <x v="9"/>
    <x v="1"/>
    <s v="Warning"/>
  </r>
  <r>
    <s v="ORD-2024-10470"/>
    <d v="2024-01-19T00:00:00"/>
    <d v="2024-01-25T00:00:00"/>
    <n v="6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s v="Paid"/>
    <x v="0"/>
    <n v="0.1"/>
    <n v="2812.4820000000004"/>
    <n v="530.36200000000053"/>
    <n v="0.18857436243147527"/>
    <x v="9"/>
    <x v="0"/>
    <s v="Clean"/>
  </r>
  <r>
    <s v="ORD-2024-10471"/>
    <d v="2024-07-28T00:00:00"/>
    <d v="2024-07-31T00:00:00"/>
    <n v="3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s v="Paid"/>
    <x v="0"/>
    <n v="0.2"/>
    <n v="7079.6480000000001"/>
    <n v="2613.7380000000003"/>
    <n v="0.36919038912669105"/>
    <x v="0"/>
    <x v="0"/>
    <s v="Clean"/>
  </r>
  <r>
    <s v="ORD-2024-10472"/>
    <d v="2024-11-02T00:00:00"/>
    <d v="2024-02-15T00:00:00"/>
    <n v="-261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s v="Paid"/>
    <x v="0"/>
    <n v="0.25"/>
    <n v="6793.0650000000005"/>
    <n v="1807.8450000000003"/>
    <n v="0.26613097327936652"/>
    <x v="3"/>
    <x v="0"/>
    <s v="Warning"/>
  </r>
  <r>
    <s v="ORD-2024-10473"/>
    <d v="2024-02-03T00:00:00"/>
    <d v="2024-03-07T00:00:00"/>
    <n v="33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s v="Paid"/>
    <x v="0"/>
    <n v="0"/>
    <n v="1844.2199999999998"/>
    <n v="750.00999999999976"/>
    <n v="0.40668141544934977"/>
    <x v="6"/>
    <x v="0"/>
    <s v="Clean"/>
  </r>
  <r>
    <s v="ORD-2024-10474"/>
    <d v="2024-11-13T00:00:00"/>
    <d v="2024-11-13T00:00:00"/>
    <n v="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s v="Paid"/>
    <x v="0"/>
    <n v="0.2"/>
    <n v="918.95999999999992"/>
    <n v="364.78"/>
    <n v="0.39694872464525116"/>
    <x v="3"/>
    <x v="0"/>
    <s v="Clean"/>
  </r>
  <r>
    <s v="ORD-2024-10475"/>
    <d v="2024-03-06T00:00:00"/>
    <d v="2024-06-10T00:00:00"/>
    <n v="96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s v="Paid"/>
    <x v="0"/>
    <n v="0"/>
    <n v="4900.71"/>
    <n v="2186.81"/>
    <n v="0.44622309828575857"/>
    <x v="10"/>
    <x v="0"/>
    <s v="Clean"/>
  </r>
  <r>
    <s v="ORD-2025-10476"/>
    <d v="2025-03-01T00:00:00"/>
    <d v="2025-03-08T00:00:00"/>
    <n v="7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s v="Pending"/>
    <x v="2"/>
    <n v="0.25"/>
    <n v="20272.920000000002"/>
    <n v="4399.5400000000027"/>
    <n v="0.21701560505344086"/>
    <x v="10"/>
    <x v="1"/>
    <s v="Clean"/>
  </r>
  <r>
    <s v="ORD-2024-10477"/>
    <d v="2024-05-07T00:00:00"/>
    <d v="2024-05-14T00:00:00"/>
    <n v="7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s v="Paid"/>
    <x v="0"/>
    <n v="0.1"/>
    <n v="1035.6659999999999"/>
    <n v="440.24599999999998"/>
    <n v="0.42508492120046426"/>
    <x v="4"/>
    <x v="0"/>
    <s v="Clean"/>
  </r>
  <r>
    <s v="ORD-2025-10478"/>
    <d v="2025-08-23T00:00:00"/>
    <d v="2025-08-28T00:00:00"/>
    <n v="5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s v="Paid"/>
    <x v="1"/>
    <n v="0.1"/>
    <n v="11843.442000000001"/>
    <n v="2486.5620000000017"/>
    <n v="0.20995264721184953"/>
    <x v="1"/>
    <x v="1"/>
    <s v="Clean"/>
  </r>
  <r>
    <s v="ORD-2024-10479"/>
    <d v="2024-06-09T00:00:00"/>
    <d v="2024-06-13T00:00:00"/>
    <n v="4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s v="Refunded"/>
    <x v="2"/>
    <n v="0.1"/>
    <n v="25702.173000000003"/>
    <n v="11130.693000000003"/>
    <n v="0.43306427826160854"/>
    <x v="2"/>
    <x v="0"/>
    <s v="Clean"/>
  </r>
  <r>
    <s v="ORD-2024-10480"/>
    <d v="2024-02-23T00:00:00"/>
    <d v="2024-02-20T00:00:00"/>
    <n v="-3"/>
    <s v="CUST-7520"/>
    <s v="Arjun Bose"/>
    <x v="2"/>
    <x v="1"/>
    <s v="Odisha"/>
    <s v="Bhubaneswar"/>
    <x v="1"/>
    <x v="4"/>
    <s v="Max Chairs 594"/>
    <x v="0"/>
    <n v="1"/>
    <n v="2202.5500000000002"/>
    <n v="0"/>
    <n v="1651.91"/>
    <n v="1034.57"/>
    <n v="617.34"/>
    <s v="Paid"/>
    <x v="0"/>
    <n v="0"/>
    <n v="2202.5500000000002"/>
    <n v="1167.9800000000002"/>
    <n v="0.53028535107035035"/>
    <x v="6"/>
    <x v="0"/>
    <s v="Warning"/>
  </r>
  <r>
    <s v="ORD-2025-10481"/>
    <d v="2025-01-05T00:00:00"/>
    <d v="2025-01-09T00:00:00"/>
    <n v="4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s v="Paid"/>
    <x v="0"/>
    <n v="0"/>
    <n v="4525.8"/>
    <n v="1811.29"/>
    <n v="0.40021432674886204"/>
    <x v="9"/>
    <x v="1"/>
    <s v="Clean"/>
  </r>
  <r>
    <s v="ORD-2025-10482"/>
    <d v="2025-06-05T00:00:00"/>
    <d v="2025-06-13T00:00:00"/>
    <n v="8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s v="Paid"/>
    <x v="0"/>
    <n v="0.85"/>
    <n v="1676.3280000000002"/>
    <n v="-4677.2619999999997"/>
    <n v="-2.7901830667983827"/>
    <x v="2"/>
    <x v="1"/>
    <s v="Clean"/>
  </r>
  <r>
    <s v="ORD-2024-10483"/>
    <d v="2024-07-22T00:00:00"/>
    <d v="2024-07-22T00:00:00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s v="Paid"/>
    <x v="0"/>
    <n v="0.25"/>
    <n v="2893.9949999999999"/>
    <n v="1037.9649999999999"/>
    <n v="0.35866164247001114"/>
    <x v="0"/>
    <x v="0"/>
    <s v="Clean"/>
  </r>
  <r>
    <s v="ORD-2024-10484"/>
    <d v="2024-12-25T00:00:00"/>
    <d v="2024-12-25T00:00:00"/>
    <n v="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s v="Paid"/>
    <x v="0"/>
    <n v="0.15"/>
    <n v="705.2109999999999"/>
    <n v="266.89099999999991"/>
    <n v="0.37845552607659261"/>
    <x v="7"/>
    <x v="0"/>
    <s v="Clean"/>
  </r>
  <r>
    <s v="ORD-2024-10485"/>
    <d v="2024-12-28T00:00:00"/>
    <d v="2024-12-31T00:00:00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x v="0"/>
    <n v="0.25"/>
    <n v="16385.489999999998"/>
    <n v="2706.2499999999982"/>
    <n v="0.16516137143289572"/>
    <x v="7"/>
    <x v="0"/>
    <s v="Clean"/>
  </r>
  <r>
    <s v="ORD-2025-10486"/>
    <d v="2025-01-22T00:00:00"/>
    <d v="2025-01-23T00:00:00"/>
    <n v="1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s v="Paid"/>
    <x v="0"/>
    <n v="0.25"/>
    <n v="7665.57"/>
    <n v="2069.9699999999993"/>
    <n v="0.27003471366121495"/>
    <x v="9"/>
    <x v="1"/>
    <s v="Clean"/>
  </r>
  <r>
    <s v="ORD-2025-10487"/>
    <d v="2025-06-22T00:00:00"/>
    <d v="2025-06-26T00:00:00"/>
    <n v="4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s v="Paid"/>
    <x v="0"/>
    <n v="0.2"/>
    <n v="4670.8320000000003"/>
    <n v="1504.3420000000006"/>
    <n v="0.3220715281560117"/>
    <x v="2"/>
    <x v="1"/>
    <s v="Clean"/>
  </r>
  <r>
    <s v="ORD-2025-10488"/>
    <d v="2025-06-10T00:00:00"/>
    <d v="2025-06-17T00:00:00"/>
    <n v="7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x v="2"/>
    <n v="0"/>
    <n v="6155.5"/>
    <n v="1873.4099999999999"/>
    <n v="0.3043473316546178"/>
    <x v="2"/>
    <x v="1"/>
    <s v="Clean"/>
  </r>
  <r>
    <s v="ORD-2024-10489"/>
    <d v="2024-10-14T00:00:00"/>
    <d v="2024-10-20T00:00:00"/>
    <n v="6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s v="Paid"/>
    <x v="0"/>
    <n v="0.2"/>
    <n v="8666.56"/>
    <n v="2699.12"/>
    <n v="0.31144075619392242"/>
    <x v="8"/>
    <x v="0"/>
    <s v="Clean"/>
  </r>
  <r>
    <s v="ORD-2024-10490"/>
    <d v="2024-02-07T00:00:00"/>
    <d v="2024-02-12T00:00:00"/>
    <n v="5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s v="Paid"/>
    <x v="0"/>
    <n v="0.2"/>
    <n v="361.75200000000001"/>
    <n v="99.222000000000037"/>
    <n v="0.27428182843495003"/>
    <x v="6"/>
    <x v="0"/>
    <s v="Clean"/>
  </r>
  <r>
    <s v="ORD-2024-10491"/>
    <d v="2024-09-16T00:00:00"/>
    <d v="2024-09-19T00:00:00"/>
    <n v="3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s v="Paid"/>
    <x v="0"/>
    <n v="0.15"/>
    <n v="2418.1990000000001"/>
    <n v="804.37900000000013"/>
    <n v="0.33263556886757462"/>
    <x v="11"/>
    <x v="0"/>
    <s v="Clean"/>
  </r>
  <r>
    <s v="ORD-2025-10492"/>
    <d v="2025-04-29T00:00:00"/>
    <d v="2025-04-30T00:00:0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s v="Paid"/>
    <x v="0"/>
    <n v="0.2"/>
    <n v="1941.0560000000003"/>
    <n v="733.63600000000019"/>
    <n v="0.37795715321969076"/>
    <x v="5"/>
    <x v="1"/>
    <s v="Clean"/>
  </r>
  <r>
    <s v="ORD-2025-10493"/>
    <d v="2025-06-28T00:00:00"/>
    <d v="2025-07-02T00:00:00"/>
    <n v="4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s v="Paid"/>
    <x v="0"/>
    <n v="0.25"/>
    <n v="4088.16"/>
    <n v="882.48"/>
    <n v="0.21586239286133616"/>
    <x v="2"/>
    <x v="1"/>
    <s v="Clean"/>
  </r>
  <r>
    <s v="ORD-2025-10494"/>
    <d v="2025-02-13T00:00:00"/>
    <d v="2025-02-13T00:00:00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s v="Paid"/>
    <x v="0"/>
    <n v="0.05"/>
    <n v="15273.054999999997"/>
    <n v="4184.2949999999964"/>
    <n v="0.27396581757873573"/>
    <x v="6"/>
    <x v="1"/>
    <s v="Clean"/>
  </r>
  <r>
    <s v="ORD-2024-10495"/>
    <d v="2024-11-14T00:00:00"/>
    <d v="2024-11-22T00:00:00"/>
    <n v="8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s v="Failed"/>
    <x v="1"/>
    <n v="-0.13"/>
    <n v="2276.9951999999998"/>
    <n v="707.61519999999973"/>
    <n v="0.31076710218800629"/>
    <x v="3"/>
    <x v="0"/>
    <s v="Invalid"/>
  </r>
  <r>
    <s v="ORD-2024-10496"/>
    <d v="2024-05-09T00:00:00"/>
    <d v="2024-05-15T00:00:00"/>
    <n v="6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s v="Refunded"/>
    <x v="2"/>
    <n v="0.05"/>
    <n v="3784.7239999999997"/>
    <n v="1365.4839999999999"/>
    <n v="0.36078826355633858"/>
    <x v="4"/>
    <x v="0"/>
    <s v="Clean"/>
  </r>
  <r>
    <s v="ORD-2025-10497"/>
    <d v="2025-07-04T00:00:00"/>
    <d v="2025-07-06T00:00:00"/>
    <n v="2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s v="Paid"/>
    <x v="0"/>
    <n v="0.1"/>
    <n v="6635.5560000000005"/>
    <n v="2982.6460000000006"/>
    <n v="0.44949451108543131"/>
    <x v="0"/>
    <x v="1"/>
    <s v="Clean"/>
  </r>
  <r>
    <s v="ORD-2024-10498"/>
    <d v="2024-08-29T00:00:00"/>
    <d v="2024-08-29T00:00:00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s v="Paid"/>
    <x v="1"/>
    <n v="0.2"/>
    <n v="2485.5040000000004"/>
    <n v="457.0740000000003"/>
    <n v="0.18389590199814615"/>
    <x v="1"/>
    <x v="0"/>
    <s v="Clean"/>
  </r>
  <r>
    <s v="ORD-2025-10499"/>
    <d v="2025-09-07T00:00:00"/>
    <d v="2025-09-10T00:00:00"/>
    <n v="3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s v="Refunded"/>
    <x v="1"/>
    <n v="0.05"/>
    <n v="850.34500000000003"/>
    <n v="249.36500000000001"/>
    <n v="0.29325156260106194"/>
    <x v="11"/>
    <x v="1"/>
    <s v="Clean"/>
  </r>
  <r>
    <s v="ORD-2024-10500"/>
    <d v="2024-12-22T00:00:00"/>
    <d v="2024-12-26T00:00:00"/>
    <n v="4"/>
    <s v="CUST-5604"/>
    <s v="Rahul Verma"/>
    <x v="3"/>
    <x v="0"/>
    <s v="Uttar Pradesh"/>
    <s v="Noida"/>
    <x v="1"/>
    <x v="4"/>
    <s v="Eco Chairs 210"/>
    <x v="3"/>
    <n v="9"/>
    <n v="1110.8699999999999"/>
    <n v="0"/>
    <n v="7498.37"/>
    <n v="6059.07"/>
    <n v="1439.3"/>
    <s v="Paid"/>
    <x v="1"/>
    <n v="0"/>
    <n v="9997.8299999999981"/>
    <n v="3938.7599999999984"/>
    <n v="0.3939614896432525"/>
    <x v="7"/>
    <x v="0"/>
    <s v="Clean"/>
  </r>
  <r>
    <s v="ORD-2024-10501"/>
    <d v="2024-05-17T00:00:00"/>
    <d v="2024-05-22T00:00:00"/>
    <n v="5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28577.15"/>
    <n v="5586.76"/>
    <s v="Paid"/>
    <x v="0"/>
    <n v="0.85"/>
    <n v="5124.5865000000003"/>
    <n v="-23452.5635"/>
    <n v="-4.5764791949555343"/>
    <x v="4"/>
    <x v="0"/>
    <s v="Clean"/>
  </r>
  <r>
    <s v="ORD-2024-10502"/>
    <d v="2024-08-11T00:00:00"/>
    <d v="2024-08-17T00:00:00"/>
    <n v="6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s v="Paid"/>
    <x v="0"/>
    <n v="0.15"/>
    <n v="17837.453999999998"/>
    <n v="4210.4339999999975"/>
    <n v="0.23604456106796395"/>
    <x v="1"/>
    <x v="0"/>
    <s v="Clean"/>
  </r>
  <r>
    <s v="ORD-2024-10503"/>
    <d v="2024-04-01T00:00:00"/>
    <d v="2024-04-09T00:00:00"/>
    <n v="8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x v="0"/>
    <n v="0.1"/>
    <n v="4465.4220000000005"/>
    <n v="1088.3220000000006"/>
    <n v="0.24372209390288319"/>
    <x v="5"/>
    <x v="0"/>
    <s v="Clean"/>
  </r>
  <r>
    <s v="ORD-2024-10504"/>
    <d v="2024-09-28T00:00:00"/>
    <d v="2024-10-05T00:00:00"/>
    <n v="7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s v="Paid"/>
    <x v="0"/>
    <n v="0.1"/>
    <n v="10594.08"/>
    <n v="3433.7699999999995"/>
    <n v="0.32412158488514337"/>
    <x v="11"/>
    <x v="0"/>
    <s v="Clean"/>
  </r>
  <r>
    <s v="ORD-2025-10505"/>
    <d v="2025-02-12T00:00:00"/>
    <d v="2025-02-17T00:00:00"/>
    <n v="5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s v="Paid"/>
    <x v="0"/>
    <n v="0"/>
    <n v="17312.48"/>
    <n v="2888.26"/>
    <n v="0.16683109525613893"/>
    <x v="6"/>
    <x v="1"/>
    <s v="Clean"/>
  </r>
  <r>
    <s v="ORD-2024-10506"/>
    <d v="2024-11-09T00:00:00"/>
    <d v="2024-11-14T00:00:00"/>
    <n v="5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s v="Paid"/>
    <x v="1"/>
    <n v="0.2"/>
    <n v="17555.688000000002"/>
    <n v="4262.4880000000012"/>
    <n v="0.24279811762432785"/>
    <x v="3"/>
    <x v="0"/>
    <s v="Clean"/>
  </r>
  <r>
    <s v="ORD-2024-10507"/>
    <d v="2024-12-15T00:00:00"/>
    <d v="2024-12-15T00:00:00"/>
    <n v="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s v="Refunded"/>
    <x v="2"/>
    <n v="0.1"/>
    <n v="1205.6399999999999"/>
    <n v="363.56999999999982"/>
    <n v="0.30155767890912699"/>
    <x v="7"/>
    <x v="0"/>
    <s v="Clean"/>
  </r>
  <r>
    <s v="ORD-2025-10508"/>
    <d v="2025-04-15T00:00:00"/>
    <d v="2025-04-22T00:00:00"/>
    <n v="7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s v="Paid"/>
    <x v="0"/>
    <n v="0.25"/>
    <n v="8971.26"/>
    <n v="2156.91"/>
    <n v="0.24042442198754688"/>
    <x v="5"/>
    <x v="1"/>
    <s v="Clean"/>
  </r>
  <r>
    <s v="ORD-2024-10509"/>
    <d v="2024-03-31T00:00:00"/>
    <d v="2024-07-04T00:00:00"/>
    <n v="95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s v="Paid"/>
    <x v="0"/>
    <n v="0"/>
    <n v="7324"/>
    <n v="3144.37"/>
    <n v="0.42932413981430911"/>
    <x v="10"/>
    <x v="0"/>
    <s v="Clean"/>
  </r>
  <r>
    <s v="ORD-2025-10510"/>
    <d v="2025-05-12T00:00:00"/>
    <d v="2025-05-14T00:00:00"/>
    <n v="2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s v="Paid"/>
    <x v="0"/>
    <n v="0.2"/>
    <n v="23241.216"/>
    <n v="6020.3159999999989"/>
    <n v="0.25903618812371948"/>
    <x v="4"/>
    <x v="1"/>
    <s v="Clean"/>
  </r>
  <r>
    <s v="ORD-2024-10511"/>
    <d v="2024-10-18T00:00:00"/>
    <d v="2024-10-21T00:00:00"/>
    <n v="3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s v="Paid"/>
    <x v="0"/>
    <n v="0"/>
    <n v="8477.02"/>
    <n v="1592.0600000000004"/>
    <n v="0.18780892341884298"/>
    <x v="8"/>
    <x v="0"/>
    <s v="Clean"/>
  </r>
  <r>
    <s v="ORD-2024-10512"/>
    <d v="2024-10-23T00:00:00"/>
    <d v="2024-10-26T00:00:00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s v="Paid"/>
    <x v="0"/>
    <n v="0.25"/>
    <n v="3673.8225000000002"/>
    <n v="1585.6725000000001"/>
    <n v="0.43161380278987349"/>
    <x v="8"/>
    <x v="0"/>
    <s v="Clean"/>
  </r>
  <r>
    <s v="ORD-2025-10513"/>
    <d v="2025-03-02T00:00:00"/>
    <d v="2025-03-03T00:00:00"/>
    <n v="1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s v="Paid"/>
    <x v="0"/>
    <n v="0.25"/>
    <n v="6047.1749999999993"/>
    <n v="2678.3849999999993"/>
    <n v="0.44291508018206843"/>
    <x v="10"/>
    <x v="1"/>
    <s v="Clean"/>
  </r>
  <r>
    <s v="ORD-2025-10514"/>
    <d v="2025-06-27T00:00:00"/>
    <d v="2025-07-02T00:00:00"/>
    <n v="5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s v="Paid"/>
    <x v="0"/>
    <n v="0.1"/>
    <n v="5937.246000000001"/>
    <n v="1848.786000000001"/>
    <n v="0.31138780505304997"/>
    <x v="2"/>
    <x v="1"/>
    <s v="Clean"/>
  </r>
  <r>
    <s v="ORD-2024-10515"/>
    <d v="2024-11-18T00:00:00"/>
    <d v="2024-11-22T00:00:00"/>
    <n v="4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s v="Paid"/>
    <x v="0"/>
    <n v="0.1"/>
    <n v="20913.876"/>
    <n v="9229.1959999999999"/>
    <n v="0.44129533903710627"/>
    <x v="3"/>
    <x v="0"/>
    <s v="Clean"/>
  </r>
  <r>
    <s v="ORD-2025-10516"/>
    <d v="2025-04-11T00:00:00"/>
    <d v="2025-04-11T00:00:00"/>
    <n v="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x v="0"/>
    <n v="-7.0000000000000007E-2"/>
    <n v="4770.5843000000004"/>
    <n v="2687.1743000000006"/>
    <n v="0.56327991101635089"/>
    <x v="5"/>
    <x v="1"/>
    <s v="Invalid"/>
  </r>
  <r>
    <s v="ORD-2024-10517"/>
    <d v="2024-09-28T00:00:00"/>
    <d v="2024-10-04T00:00:00"/>
    <n v="6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x v="2"/>
    <n v="0"/>
    <n v="2233.1799999999998"/>
    <n v="647.3599999999999"/>
    <n v="0.28988258895386843"/>
    <x v="11"/>
    <x v="0"/>
    <s v="Clean"/>
  </r>
  <r>
    <s v="ORD-2025-10518"/>
    <d v="2025-05-25T00:00:00"/>
    <d v="2025-05-27T00:00:00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x v="2"/>
    <n v="0.2"/>
    <n v="11890.368000000002"/>
    <n v="2655.8380000000016"/>
    <n v="0.22336045444514427"/>
    <x v="4"/>
    <x v="1"/>
    <s v="Clean"/>
  </r>
  <r>
    <s v="ORD-2025-10519"/>
    <d v="2025-04-30T00:00:00"/>
    <d v="2025-04-26T00:00:00"/>
    <n v="-4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s v="Paid"/>
    <x v="1"/>
    <n v="0.25"/>
    <n v="8421.682499999999"/>
    <n v="1887.2124999999987"/>
    <n v="0.22408972316398759"/>
    <x v="5"/>
    <x v="1"/>
    <s v="Warning"/>
  </r>
  <r>
    <s v="ORD-2025-10520"/>
    <d v="2025-03-07T00:00:00"/>
    <d v="2025-07-07T00:00:00"/>
    <n v="122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s v="Pending"/>
    <x v="1"/>
    <n v="0.2"/>
    <n v="13968.672"/>
    <n v="5111.0920000000006"/>
    <n v="0.36589677243477409"/>
    <x v="10"/>
    <x v="1"/>
    <s v="Clean"/>
  </r>
  <r>
    <s v="ORD-2024-10521"/>
    <d v="2024-07-16T00:00:00"/>
    <d v="2024-07-23T00:00:00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s v="Paid"/>
    <x v="0"/>
    <n v="0.05"/>
    <n v="1611.1144999999999"/>
    <n v="715.96449999999993"/>
    <n v="0.44439082386757739"/>
    <x v="0"/>
    <x v="0"/>
    <s v="Clean"/>
  </r>
  <r>
    <s v="ORD-2025-10522"/>
    <d v="2025-03-25T00:00:00"/>
    <d v="2025-04-01T00:00:00"/>
    <n v="7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s v="Paid"/>
    <x v="0"/>
    <n v="0.05"/>
    <n v="12495.027"/>
    <n v="3310.5069999999996"/>
    <n v="0.26494596610315446"/>
    <x v="10"/>
    <x v="1"/>
    <s v="Clean"/>
  </r>
  <r>
    <s v="ORD-2025-10523"/>
    <d v="2025-02-28T00:00:00"/>
    <d v="2025-03-08T00:00:00"/>
    <n v="8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s v="Paid"/>
    <x v="0"/>
    <n v="0"/>
    <n v="33034.86"/>
    <n v="8495.0299999999988"/>
    <n v="0.25715350390466307"/>
    <x v="6"/>
    <x v="1"/>
    <s v="Clean"/>
  </r>
  <r>
    <s v="ORD-2024-10524"/>
    <d v="2024-02-04T00:00:00"/>
    <d v="2024-04-03T00:00:00"/>
    <n v="59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s v="Paid"/>
    <x v="2"/>
    <n v="0"/>
    <n v="5805.26"/>
    <n v="1150.9000000000005"/>
    <n v="0.19825124111581574"/>
    <x v="6"/>
    <x v="0"/>
    <s v="Clean"/>
  </r>
  <r>
    <s v="ORD-2024-10525"/>
    <d v="2024-11-30T00:00:00"/>
    <d v="2024-12-01T00:00:00"/>
    <n v="1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x v="0"/>
    <n v="0.1"/>
    <n v="34079.616000000002"/>
    <n v="12208.226000000002"/>
    <n v="0.35822663025311091"/>
    <x v="3"/>
    <x v="0"/>
    <s v="Clean"/>
  </r>
  <r>
    <s v="ORD-2024-10526"/>
    <d v="2024-10-17T00:00:00"/>
    <d v="2024-10-17T00:00:00"/>
    <n v="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s v="Paid"/>
    <x v="0"/>
    <n v="0.1"/>
    <n v="11359.800000000001"/>
    <n v="4297.3600000000015"/>
    <n v="0.37829539252451638"/>
    <x v="8"/>
    <x v="0"/>
    <s v="Clean"/>
  </r>
  <r>
    <s v="ORD-2025-10527"/>
    <d v="2025-07-18T00:00:00"/>
    <d v="2025-07-21T00:00:00"/>
    <n v="3"/>
    <s v="CUST-7198"/>
    <s v="Priya Menon"/>
    <x v="0"/>
    <x v="1"/>
    <s v="Odisha"/>
    <s v="Bhubaneswar"/>
    <x v="1"/>
    <x v="1"/>
    <s v="Elite Tables 815"/>
    <x v="0"/>
    <n v="4"/>
    <n v="284.04000000000002"/>
    <n v="0"/>
    <n v="908.93"/>
    <n v="572.08000000000004"/>
    <n v="336.85"/>
    <s v="Paid"/>
    <x v="0"/>
    <n v="0"/>
    <n v="1136.1600000000001"/>
    <n v="564.08000000000004"/>
    <n v="0.49647936910294327"/>
    <x v="0"/>
    <x v="1"/>
    <s v="Clean"/>
  </r>
  <r>
    <s v="ORD-2025-10528"/>
    <d v="2025-01-10T00:00:00"/>
    <d v="2025-10-05T00:00:00"/>
    <n v="268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s v="Paid"/>
    <x v="0"/>
    <n v="0.15"/>
    <n v="13802.13"/>
    <n v="3726.1999999999989"/>
    <n v="0.26997282303528508"/>
    <x v="9"/>
    <x v="1"/>
    <s v="Clean"/>
  </r>
  <r>
    <s v="ORD-2024-10529"/>
    <d v="2024-10-07T00:00:00"/>
    <d v="2024-09-10T00:00:00"/>
    <n v="-27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s v="Pending"/>
    <x v="2"/>
    <n v="0.05"/>
    <n v="29558.119500000001"/>
    <n v="8255.9894999999997"/>
    <n v="0.27931376013281223"/>
    <x v="8"/>
    <x v="0"/>
    <s v="Warning"/>
  </r>
  <r>
    <s v="ORD-2024-10530"/>
    <d v="2024-02-06T00:00:00"/>
    <d v="2024-02-08T00:00:00"/>
    <n v="2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s v="Paid"/>
    <x v="0"/>
    <n v="0"/>
    <n v="16400.25"/>
    <n v="4253.2900000000009"/>
    <n v="0.25934299782015524"/>
    <x v="6"/>
    <x v="0"/>
    <s v="Clean"/>
  </r>
  <r>
    <s v="ORD-2025-10531"/>
    <d v="2025-05-30T00:00:00"/>
    <d v="2025-06-01T00:00:00"/>
    <n v="2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s v="Paid"/>
    <x v="0"/>
    <n v="0.05"/>
    <n v="17053.0605"/>
    <n v="6310.6805000000004"/>
    <n v="0.37006146198801093"/>
    <x v="4"/>
    <x v="1"/>
    <s v="Clean"/>
  </r>
  <r>
    <s v="ORD-2024-10532"/>
    <d v="2024-08-01T00:00:00"/>
    <d v="2024-08-08T00:00:00"/>
    <n v="7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s v="Paid"/>
    <x v="0"/>
    <n v="0.1"/>
    <n v="398.67300000000006"/>
    <n v="87.013000000000034"/>
    <n v="0.21825656615822997"/>
    <x v="1"/>
    <x v="0"/>
    <s v="Clean"/>
  </r>
  <r>
    <s v="ORD-2025-10533"/>
    <d v="2025-10-05T00:00:00"/>
    <d v="2025-10-10T00:00:00"/>
    <n v="5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x v="1"/>
    <n v="0.05"/>
    <n v="17862.146999999997"/>
    <n v="7969.9369999999981"/>
    <n v="0.44619143488182017"/>
    <x v="8"/>
    <x v="1"/>
    <s v="Clean"/>
  </r>
  <r>
    <s v="ORD-2024-10534"/>
    <d v="2024-08-25T00:00:00"/>
    <d v="2024-09-01T00:00:00"/>
    <n v="7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s v="Paid"/>
    <x v="0"/>
    <n v="0.25"/>
    <n v="2165.8500000000004"/>
    <n v="41.370000000000346"/>
    <n v="1.91010457787937E-2"/>
    <x v="1"/>
    <x v="0"/>
    <s v="Clean"/>
  </r>
  <r>
    <s v="ORD-2025-10535"/>
    <d v="2025-04-27T00:00:00"/>
    <d v="2025-05-05T00:00:00"/>
    <n v="8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s v="Pending"/>
    <x v="2"/>
    <n v="0.1"/>
    <n v="14268.204"/>
    <n v="2562.9040000000005"/>
    <n v="0.17962344805274724"/>
    <x v="5"/>
    <x v="1"/>
    <s v="Clean"/>
  </r>
  <r>
    <s v="ORD-2024-10536"/>
    <d v="2024-05-19T00:00:00"/>
    <d v="2024-05-21T00:00:00"/>
    <n v="2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s v="Paid"/>
    <x v="0"/>
    <n v="0.2"/>
    <n v="9602.3520000000008"/>
    <n v="2214.7820000000011"/>
    <n v="0.23064994909580494"/>
    <x v="4"/>
    <x v="0"/>
    <s v="Clean"/>
  </r>
  <r>
    <s v="ORD-2025-10537"/>
    <d v="2025-04-10T00:00:00"/>
    <d v="2025-04-17T00:00:00"/>
    <n v="7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s v="Failed"/>
    <x v="1"/>
    <n v="0.25"/>
    <n v="19891.724999999999"/>
    <n v="7595.9649999999983"/>
    <n v="0.38186557475533162"/>
    <x v="5"/>
    <x v="1"/>
    <s v="Clean"/>
  </r>
  <r>
    <s v="ORD-2024-10538"/>
    <d v="2024-01-22T00:00:00"/>
    <d v="2024-01-30T00:00:00"/>
    <n v="8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s v="Failed"/>
    <x v="1"/>
    <n v="0.05"/>
    <n v="1927.6545000000001"/>
    <n v="467.05450000000019"/>
    <n v="0.24229160360427668"/>
    <x v="9"/>
    <x v="0"/>
    <s v="Clean"/>
  </r>
  <r>
    <s v="ORD-2024-10539"/>
    <d v="2024-09-25T00:00:00"/>
    <d v="2024-01-10T00:00:00"/>
    <n v="-259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s v="Paid"/>
    <x v="0"/>
    <n v="0.15"/>
    <n v="29900.79"/>
    <n v="5250.1200000000026"/>
    <n v="0.17558465846554563"/>
    <x v="11"/>
    <x v="0"/>
    <s v="Warning"/>
  </r>
  <r>
    <s v="ORD-2025-10540"/>
    <d v="2025-07-04T00:00:00"/>
    <d v="2025-07-04T00:00:00"/>
    <n v="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s v="Paid"/>
    <x v="1"/>
    <n v="0.1"/>
    <n v="1904.4450000000002"/>
    <n v="587.9050000000002"/>
    <n v="0.30870148520960183"/>
    <x v="0"/>
    <x v="1"/>
    <s v="Clean"/>
  </r>
  <r>
    <s v="ORD-2024-10541"/>
    <d v="2024-02-26T00:00:00"/>
    <d v="2024-02-23T00:00:00"/>
    <n v="-3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x v="0"/>
    <n v="0.2"/>
    <n v="21571.592000000004"/>
    <n v="4453.5220000000045"/>
    <n v="0.20645309813017063"/>
    <x v="6"/>
    <x v="0"/>
    <s v="Warning"/>
  </r>
  <r>
    <s v="ORD-2025-10542"/>
    <d v="2025-08-07T00:00:00"/>
    <d v="2025-07-09T00:00:00"/>
    <n v="-29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s v="Paid"/>
    <x v="2"/>
    <n v="0"/>
    <n v="8641.68"/>
    <n v="2894.59"/>
    <n v="0.33495686024013849"/>
    <x v="1"/>
    <x v="1"/>
    <s v="Warning"/>
  </r>
  <r>
    <s v="ORD-2024-10543"/>
    <d v="2024-09-17T00:00:00"/>
    <d v="2024-09-23T00:00:00"/>
    <n v="6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s v="Paid"/>
    <x v="1"/>
    <n v="0.2"/>
    <n v="9762.2880000000005"/>
    <n v="1394.0480000000007"/>
    <n v="0.14279931098119628"/>
    <x v="11"/>
    <x v="0"/>
    <s v="Clean"/>
  </r>
  <r>
    <s v="ORD-2024-10544"/>
    <d v="2024-07-14T00:00:00"/>
    <d v="2024-07-20T00:00:00"/>
    <n v="6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s v="Paid"/>
    <x v="0"/>
    <n v="0.15"/>
    <n v="418.76949999999999"/>
    <n v="105.04949999999997"/>
    <n v="0.25085279610859906"/>
    <x v="0"/>
    <x v="0"/>
    <s v="Clean"/>
  </r>
  <r>
    <s v="ORD-2025-10545"/>
    <d v="2025-01-29T00:00:00"/>
    <d v="2025-02-05T00:00:00"/>
    <n v="7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s v="Paid"/>
    <x v="1"/>
    <n v="0.25"/>
    <n v="21861.72"/>
    <n v="3397.380000000001"/>
    <n v="0.1554031430280875"/>
    <x v="9"/>
    <x v="1"/>
    <s v="Clean"/>
  </r>
  <r>
    <s v="ORD-2024-10546"/>
    <d v="2024-05-27T00:00:00"/>
    <d v="2024-05-30T00:00:00"/>
    <n v="3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s v="Paid"/>
    <x v="0"/>
    <n v="0.15"/>
    <n v="17260.116999999998"/>
    <n v="3746.6069999999982"/>
    <n v="0.21706730029697935"/>
    <x v="4"/>
    <x v="0"/>
    <s v="Clean"/>
  </r>
  <r>
    <s v="ORD-2025-10547"/>
    <d v="2025-08-14T00:00:00"/>
    <d v="2025-08-22T00:00:00"/>
    <n v="8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s v="Paid"/>
    <x v="0"/>
    <n v="0.15"/>
    <n v="10911.322499999998"/>
    <n v="3944.8824999999988"/>
    <n v="0.36154027158486052"/>
    <x v="1"/>
    <x v="1"/>
    <s v="Clean"/>
  </r>
  <r>
    <s v="ORD-2024-10548"/>
    <d v="2024-05-16T00:00:00"/>
    <d v="2024-05-23T00:00:00"/>
    <n v="7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s v="Paid"/>
    <x v="0"/>
    <n v="0.1"/>
    <n v="30148.929"/>
    <n v="4993.8590000000004"/>
    <n v="0.16563968159532302"/>
    <x v="4"/>
    <x v="0"/>
    <s v="Clean"/>
  </r>
  <r>
    <s v="ORD-2024-10549"/>
    <d v="2024-05-29T00:00:00"/>
    <d v="2024-05-29T00:00:00"/>
    <n v="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s v="Pending"/>
    <x v="1"/>
    <n v="0"/>
    <n v="1072.01"/>
    <n v="219.39"/>
    <n v="0.20465294167032022"/>
    <x v="4"/>
    <x v="0"/>
    <s v="Clean"/>
  </r>
  <r>
    <s v="ORD-2025-10550"/>
    <d v="2025-10-11T00:00:00"/>
    <d v="2025-10-13T00:00:00"/>
    <n v="2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x v="0"/>
    <n v="0.1"/>
    <n v="10271.529"/>
    <n v="1999.2890000000007"/>
    <n v="0.19464375751652949"/>
    <x v="8"/>
    <x v="1"/>
    <s v="Clean"/>
  </r>
  <r>
    <s v="ORD-2024-10551"/>
    <d v="2024-02-08T00:00:00"/>
    <d v="2024-08-10T00:00:00"/>
    <n v="184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s v="Paid"/>
    <x v="0"/>
    <n v="0.2"/>
    <n v="10206.912"/>
    <n v="3442.3820000000005"/>
    <n v="0.33725988820125036"/>
    <x v="6"/>
    <x v="0"/>
    <s v="Clean"/>
  </r>
  <r>
    <s v="ORD-2024-10552"/>
    <d v="2024-02-27T00:00:00"/>
    <d v="2024-02-27T00:00:00"/>
    <n v="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s v="Paid"/>
    <x v="0"/>
    <n v="0.15"/>
    <n v="8027.6295"/>
    <n v="2531.5394999999999"/>
    <n v="0.31535330572991688"/>
    <x v="6"/>
    <x v="0"/>
    <s v="Clean"/>
  </r>
  <r>
    <s v="ORD-2025-10553"/>
    <d v="2025-01-24T00:00:00"/>
    <d v="2025-01-30T00:00:00"/>
    <n v="6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s v="Paid"/>
    <x v="0"/>
    <n v="0.7"/>
    <n v="750.072"/>
    <n v="-829.09800000000007"/>
    <n v="-1.1053578856429784"/>
    <x v="9"/>
    <x v="1"/>
    <s v="Clean"/>
  </r>
  <r>
    <s v="ORD-2025-10554"/>
    <d v="2025-04-25T00:00:00"/>
    <d v="2025-04-28T00:00:00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s v="Paid"/>
    <x v="0"/>
    <n v="0.25"/>
    <n v="8735.2425000000003"/>
    <n v="2115.1725000000006"/>
    <n v="0.24214239043735769"/>
    <x v="5"/>
    <x v="1"/>
    <s v="Clean"/>
  </r>
  <r>
    <s v="ORD-2024-10555"/>
    <d v="2024-10-12T00:00:00"/>
    <d v="2024-10-17T00:00:00"/>
    <n v="5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s v="Paid"/>
    <x v="0"/>
    <n v="0.05"/>
    <n v="4070.636"/>
    <n v="1239.0160000000001"/>
    <n v="0.30437897173807732"/>
    <x v="8"/>
    <x v="0"/>
    <s v="Clean"/>
  </r>
  <r>
    <s v="ORD-2025-10556"/>
    <d v="2025-04-02T00:00:00"/>
    <d v="2025-02-10T00:00:00"/>
    <n v="-51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s v="Paid"/>
    <x v="0"/>
    <n v="0.05"/>
    <n v="5943.9599999999991"/>
    <n v="2339.8199999999993"/>
    <n v="0.39364665980255581"/>
    <x v="5"/>
    <x v="1"/>
    <s v="Warning"/>
  </r>
  <r>
    <s v="ORD-2024-10557"/>
    <d v="2024-06-23T00:00:00"/>
    <d v="2024-06-29T00:00:00"/>
    <n v="6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s v="Paid"/>
    <x v="2"/>
    <n v="0"/>
    <n v="4426.66"/>
    <n v="1391.46"/>
    <n v="0.31433631677156143"/>
    <x v="2"/>
    <x v="0"/>
    <s v="Clean"/>
  </r>
  <r>
    <s v="ORD-2024-10558"/>
    <d v="2024-05-08T00:00:00"/>
    <d v="2024-05-14T00:00:00"/>
    <n v="6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x v="1"/>
    <n v="0.05"/>
    <n v="32228.882999999998"/>
    <n v="7257.5229999999974"/>
    <n v="0.22518692317074712"/>
    <x v="4"/>
    <x v="0"/>
    <s v="Clean"/>
  </r>
  <r>
    <s v="ORD-2025-10559"/>
    <d v="2025-09-04T00:00:00"/>
    <d v="2025-09-04T00:00:00"/>
    <n v="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s v="Paid"/>
    <x v="0"/>
    <n v="0.2"/>
    <n v="19711.68"/>
    <n v="5249.880000000001"/>
    <n v="0.26633346320557155"/>
    <x v="11"/>
    <x v="1"/>
    <s v="Clean"/>
  </r>
  <r>
    <s v="ORD-2025-10560"/>
    <d v="2025-09-30T00:00:00"/>
    <d v="2025-10-07T00:00:00"/>
    <n v="7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s v="Paid"/>
    <x v="2"/>
    <n v="0.1"/>
    <n v="14750.190000000002"/>
    <n v="5267.6100000000024"/>
    <n v="0.35712150148574368"/>
    <x v="11"/>
    <x v="1"/>
    <s v="Clean"/>
  </r>
  <r>
    <s v="ORD-2024-10561"/>
    <d v="2024-01-16T00:00:00"/>
    <d v="2024-01-22T00:00:00"/>
    <n v="6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s v="Paid"/>
    <x v="1"/>
    <n v="0"/>
    <n v="1130.1199999999999"/>
    <n v="281.49999999999989"/>
    <n v="0.249088592361873"/>
    <x v="9"/>
    <x v="0"/>
    <s v="Clean"/>
  </r>
  <r>
    <s v="ORD-2025-10562"/>
    <d v="2025-07-14T00:00:00"/>
    <d v="2025-07-18T00:00:00"/>
    <n v="4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s v="Pending"/>
    <x v="2"/>
    <n v="0"/>
    <n v="2900.88"/>
    <n v="509.0300000000002"/>
    <n v="0.17547433882132324"/>
    <x v="0"/>
    <x v="1"/>
    <s v="Clean"/>
  </r>
  <r>
    <s v="ORD-2024-10563"/>
    <d v="2024-05-10T00:00:00"/>
    <d v="2024-05-16T00:00:00"/>
    <n v="6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s v="Failed"/>
    <x v="2"/>
    <n v="0.2"/>
    <n v="680.62400000000014"/>
    <n v="217.13400000000013"/>
    <n v="0.31902195632243363"/>
    <x v="4"/>
    <x v="0"/>
    <s v="Clean"/>
  </r>
  <r>
    <s v="ORD-2024-10564"/>
    <d v="2024-05-06T00:00:00"/>
    <d v="2024-12-05T00:00:00"/>
    <n v="213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s v="Pending"/>
    <x v="1"/>
    <n v="0.2"/>
    <n v="5694.9840000000004"/>
    <n v="1076.6540000000005"/>
    <n v="0.1890530333360024"/>
    <x v="4"/>
    <x v="0"/>
    <s v="Clean"/>
  </r>
  <r>
    <s v="ORD-2024-10565"/>
    <d v="2024-11-10T00:00:00"/>
    <d v="2024-11-14T00:00:00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s v="Paid"/>
    <x v="0"/>
    <n v="0.2"/>
    <n v="1474.1440000000002"/>
    <n v="505.6840000000002"/>
    <n v="0.34303568715132315"/>
    <x v="3"/>
    <x v="0"/>
    <s v="Clean"/>
  </r>
  <r>
    <s v="ORD-2025-10566"/>
    <d v="2025-08-07T00:00:00"/>
    <d v="2025-08-13T00:00:00"/>
    <n v="6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s v="Refunded"/>
    <x v="1"/>
    <n v="0.2"/>
    <n v="9224.9279999999999"/>
    <n v="2219.7280000000001"/>
    <n v="0.24062279944081949"/>
    <x v="1"/>
    <x v="1"/>
    <s v="Clean"/>
  </r>
  <r>
    <s v="ORD-2024-10567"/>
    <d v="2024-08-11T00:00:00"/>
    <d v="2024-08-19T00:00:00"/>
    <n v="8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s v="Failed"/>
    <x v="2"/>
    <n v="0.1"/>
    <n v="4712.2020000000002"/>
    <n v="860.29200000000037"/>
    <n v="0.18256687637754077"/>
    <x v="1"/>
    <x v="0"/>
    <s v="Clean"/>
  </r>
  <r>
    <s v="ORD-2024-10568"/>
    <d v="2024-02-06T00:00:00"/>
    <d v="2024-10-02T00:00:00"/>
    <n v="239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s v="Paid"/>
    <x v="0"/>
    <n v="0.05"/>
    <n v="1305.357"/>
    <n v="573.46699999999998"/>
    <n v="0.4393181328939133"/>
    <x v="6"/>
    <x v="0"/>
    <s v="Clean"/>
  </r>
  <r>
    <s v="ORD-2024-10569"/>
    <d v="2024-01-21T00:00:00"/>
    <d v="2024-01-24T00:00:00"/>
    <n v="3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s v="Paid"/>
    <x v="0"/>
    <n v="0.25"/>
    <n v="2854.7250000000004"/>
    <n v="886.60500000000047"/>
    <n v="0.31057457373302172"/>
    <x v="9"/>
    <x v="0"/>
    <s v="Clean"/>
  </r>
  <r>
    <s v="ORD-2025-10570"/>
    <d v="2025-09-08T00:00:00"/>
    <d v="2025-09-10T00:00:00"/>
    <n v="2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s v="Refunded"/>
    <x v="2"/>
    <n v="0.25"/>
    <n v="14630.264999999999"/>
    <n v="2723.9049999999988"/>
    <n v="0.18618288868998606"/>
    <x v="11"/>
    <x v="1"/>
    <s v="Clean"/>
  </r>
  <r>
    <s v="ORD-2025-10571"/>
    <d v="2025-08-18T00:00:00"/>
    <d v="2025-08-22T00:00:00"/>
    <n v="4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s v="Failed"/>
    <x v="2"/>
    <n v="0.25"/>
    <n v="8879.49"/>
    <n v="2534.92"/>
    <n v="0.28548035979543873"/>
    <x v="1"/>
    <x v="1"/>
    <s v="Clean"/>
  </r>
  <r>
    <s v="ORD-2025-10572"/>
    <d v="2025-02-10T00:00:00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s v="Failed"/>
    <x v="2"/>
    <n v="0"/>
    <n v="21381.45"/>
    <n v="8141.2400000000016"/>
    <n v="0.38076182859441249"/>
    <x v="6"/>
    <x v="1"/>
    <s v="Clean"/>
  </r>
  <r>
    <s v="ORD-2024-10573"/>
    <d v="2024-01-02T00:00:00"/>
    <d v="2024-09-01T00:00:00"/>
    <n v="243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s v="Paid"/>
    <x v="0"/>
    <n v="0.2"/>
    <n v="1774.944"/>
    <n v="767.54399999999998"/>
    <n v="0.43243279787982042"/>
    <x v="9"/>
    <x v="0"/>
    <s v="Clean"/>
  </r>
  <r>
    <s v="ORD-2025-10574"/>
    <d v="2025-09-22T00:00:00"/>
    <d v="2025-09-26T00:00:00"/>
    <n v="4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s v="Paid"/>
    <x v="0"/>
    <n v="0"/>
    <n v="573.65"/>
    <n v="250.97999999999996"/>
    <n v="0.43751416368866031"/>
    <x v="11"/>
    <x v="1"/>
    <s v="Clean"/>
  </r>
  <r>
    <s v="ORD-2024-10575"/>
    <d v="2024-02-20T00:00:00"/>
    <d v="2024-02-25T00:00:00"/>
    <n v="5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s v="Paid"/>
    <x v="0"/>
    <n v="0"/>
    <n v="5423.2"/>
    <n v="1350.7599999999998"/>
    <n v="0.24907065938929043"/>
    <x v="6"/>
    <x v="0"/>
    <s v="Clean"/>
  </r>
  <r>
    <s v="ORD-2025-10576"/>
    <d v="2025-03-11T00:00:00"/>
    <d v="2025-03-14T00:00:00"/>
    <n v="3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s v="Failed"/>
    <x v="2"/>
    <n v="0.2"/>
    <n v="3983.424"/>
    <n v="808.51400000000012"/>
    <n v="0.2029696060474607"/>
    <x v="10"/>
    <x v="1"/>
    <s v="Clean"/>
  </r>
  <r>
    <s v="ORD-2024-10577"/>
    <d v="2024-02-17T00:00:00"/>
    <d v="2024-02-23T00:00:00"/>
    <n v="6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s v="Refunded"/>
    <x v="2"/>
    <n v="0"/>
    <n v="23530.14"/>
    <n v="3992.3499999999985"/>
    <n v="0.16966962372514566"/>
    <x v="6"/>
    <x v="0"/>
    <s v="Clean"/>
  </r>
  <r>
    <s v="ORD-2025-10578"/>
    <d v="2025-08-28T00:00:00"/>
    <d v="2025-09-03T00:00:00"/>
    <n v="6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s v="Paid"/>
    <x v="0"/>
    <n v="0"/>
    <n v="1879.1499999999999"/>
    <n v="744.24999999999977"/>
    <n v="0.39605672777585599"/>
    <x v="1"/>
    <x v="1"/>
    <s v="Clean"/>
  </r>
  <r>
    <s v="ORD-2024-10579"/>
    <d v="2024-02-21T00:00:00"/>
    <d v="2024-02-23T00:00:00"/>
    <n v="2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s v="Paid"/>
    <x v="0"/>
    <n v="0.05"/>
    <n v="15011.805"/>
    <n v="5351.4449999999997"/>
    <n v="0.35648244831317749"/>
    <x v="6"/>
    <x v="0"/>
    <s v="Clean"/>
  </r>
  <r>
    <s v="ORD-2024-10580"/>
    <d v="2024-06-19T00:00:00"/>
    <d v="2024-06-24T00:00:00"/>
    <n v="5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s v="Paid"/>
    <x v="0"/>
    <n v="0"/>
    <n v="3202.41"/>
    <n v="593.9699999999998"/>
    <n v="0.18547593843386695"/>
    <x v="2"/>
    <x v="0"/>
    <s v="Clean"/>
  </r>
  <r>
    <s v="ORD-2025-10581"/>
    <d v="2025-06-03T00:00:00"/>
    <d v="2025-03-13T00:00:00"/>
    <n v="-82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s v="Failed"/>
    <x v="2"/>
    <n v="0.15"/>
    <n v="417.48599999999999"/>
    <n v="155.81599999999997"/>
    <n v="0.37322449136018926"/>
    <x v="2"/>
    <x v="1"/>
    <s v="Warning"/>
  </r>
  <r>
    <s v="ORD-2025-10582"/>
    <d v="2025-08-09T00:00:00"/>
    <d v="2025-08-10T00:00:00"/>
    <n v="1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s v="Refunded"/>
    <x v="2"/>
    <n v="0"/>
    <n v="16323.8"/>
    <n v="6358.0099999999984"/>
    <n v="0.38949325524693995"/>
    <x v="1"/>
    <x v="1"/>
    <s v="Clean"/>
  </r>
  <r>
    <s v="ORD-2024-10583"/>
    <d v="2024-10-15T00:00:00"/>
    <d v="2024-10-20T00:00:00"/>
    <n v="5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s v="Pending"/>
    <x v="2"/>
    <n v="0"/>
    <n v="3356.2"/>
    <n v="1150.48"/>
    <n v="0.34279244383528995"/>
    <x v="8"/>
    <x v="0"/>
    <s v="Clean"/>
  </r>
  <r>
    <s v="ORD-2024-10584"/>
    <d v="2024-02-28T00:00:00"/>
    <d v="2024-02-28T00:00:00"/>
    <n v="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s v="Failed"/>
    <x v="2"/>
    <n v="0.2"/>
    <n v="2101.4720000000002"/>
    <n v="883.64200000000028"/>
    <n v="0.42048716328364127"/>
    <x v="6"/>
    <x v="0"/>
    <s v="Clean"/>
  </r>
  <r>
    <s v="ORD-2024-10585"/>
    <d v="2024-08-04T00:00:00"/>
    <d v="2024-10-08T00:00:00"/>
    <n v="65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s v="Pending"/>
    <x v="2"/>
    <n v="0.15"/>
    <n v="837.19049999999993"/>
    <n v="253.40049999999997"/>
    <n v="0.30267961712417901"/>
    <x v="1"/>
    <x v="0"/>
    <s v="Clean"/>
  </r>
  <r>
    <s v="ORD-2025-10586"/>
    <d v="2025-06-22T00:00:00"/>
    <d v="2025-06-25T00:00:00"/>
    <n v="3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s v="Paid"/>
    <x v="0"/>
    <n v="0"/>
    <n v="27629.279999999999"/>
    <n v="5602.7999999999993"/>
    <n v="0.20278487170132553"/>
    <x v="2"/>
    <x v="1"/>
    <s v="Clean"/>
  </r>
  <r>
    <s v="ORD-2025-10587"/>
    <d v="2025-12-04T00:00:00"/>
    <d v="2025-04-12T00:00:00"/>
    <n v="-236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s v="Paid"/>
    <x v="0"/>
    <n v="0.2"/>
    <n v="7471.52"/>
    <n v="1287.2000000000007"/>
    <n v="0.17228087457438387"/>
    <x v="7"/>
    <x v="1"/>
    <s v="Warning"/>
  </r>
  <r>
    <s v="ORD-2025-10588"/>
    <d v="2025-07-23T00:00:00"/>
    <d v="2025-07-31T00:00:00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s v="Refunded"/>
    <x v="1"/>
    <n v="0.15"/>
    <n v="3615.7640000000001"/>
    <n v="664.24400000000014"/>
    <n v="0.18370778623826114"/>
    <x v="0"/>
    <x v="1"/>
    <s v="Clean"/>
  </r>
  <r>
    <s v="ORD-2025-10589"/>
    <d v="2025-03-11T00:00:00"/>
    <d v="2025-03-15T00:00:00"/>
    <n v="4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x v="1"/>
    <n v="0.1"/>
    <n v="32013.791999999998"/>
    <n v="11116.911999999997"/>
    <n v="0.34725383359771933"/>
    <x v="10"/>
    <x v="1"/>
    <s v="Clean"/>
  </r>
  <r>
    <s v="ORD-2024-10590"/>
    <d v="2024-12-06T00:00:00"/>
    <d v="2024-12-12T00:00:00"/>
    <n v="6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s v="Paid"/>
    <x v="0"/>
    <n v="0"/>
    <n v="1574.25"/>
    <n v="248.13000000000011"/>
    <n v="0.15761791329204389"/>
    <x v="7"/>
    <x v="0"/>
    <s v="Clean"/>
  </r>
  <r>
    <s v="ORD-2024-10591"/>
    <d v="2024-05-29T00:00:00"/>
    <d v="2024-05-29T00:00:00"/>
    <n v="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s v="Pending"/>
    <x v="1"/>
    <n v="0"/>
    <n v="20582.099999999999"/>
    <n v="4684.4499999999989"/>
    <n v="0.22759825285077806"/>
    <x v="4"/>
    <x v="0"/>
    <s v="Clean"/>
  </r>
  <r>
    <s v="ORD-2024-10592"/>
    <d v="2024-02-22T00:00:00"/>
    <d v="2024-02-24T00:00:00"/>
    <n v="2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s v="Failed"/>
    <x v="2"/>
    <n v="0"/>
    <n v="10635.24"/>
    <n v="4603.3599999999997"/>
    <n v="0.43284025560307055"/>
    <x v="6"/>
    <x v="0"/>
    <s v="Clean"/>
  </r>
  <r>
    <s v="ORD-2024-10593"/>
    <d v="2024-04-03T00:00:00"/>
    <d v="2024-03-09T00:00:00"/>
    <n v="-25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s v="Paid"/>
    <x v="0"/>
    <n v="0.15"/>
    <n v="29929.588"/>
    <n v="7493.5580000000009"/>
    <n v="0.25037290857461858"/>
    <x v="5"/>
    <x v="0"/>
    <s v="Warning"/>
  </r>
  <r>
    <s v="ORD-2025-10594"/>
    <d v="2025-09-27T00:00:00"/>
    <d v="2025-09-29T00:00:00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s v="Paid"/>
    <x v="0"/>
    <n v="0.25"/>
    <n v="27675.7425"/>
    <n v="12104.6625"/>
    <n v="0.4373744444254748"/>
    <x v="11"/>
    <x v="1"/>
    <s v="Clean"/>
  </r>
  <r>
    <s v="ORD-2024-10595"/>
    <d v="2024-09-19T00:00:00"/>
    <d v="2024-09-21T00:00:00"/>
    <n v="2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s v="Paid"/>
    <x v="0"/>
    <n v="0"/>
    <n v="11945.28"/>
    <n v="2244.9700000000012"/>
    <n v="0.18793782983739193"/>
    <x v="11"/>
    <x v="0"/>
    <s v="Clean"/>
  </r>
  <r>
    <s v="ORD-2025-10596"/>
    <d v="2025-02-11T00:00:00"/>
    <d v="2025-02-16T00:00:00"/>
    <n v="5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s v="Paid"/>
    <x v="0"/>
    <n v="0.1"/>
    <n v="13144.031999999999"/>
    <n v="3380.0319999999992"/>
    <n v="0.25715336055176974"/>
    <x v="6"/>
    <x v="1"/>
    <s v="Clean"/>
  </r>
  <r>
    <s v="ORD-2024-10597"/>
    <d v="2024-04-10T00:00:00"/>
    <d v="2024-04-16T00:00:00"/>
    <n v="6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x v="0"/>
    <n v="0.25"/>
    <n v="18382.005000000005"/>
    <n v="5273.8050000000039"/>
    <n v="0.28690042245119629"/>
    <x v="5"/>
    <x v="0"/>
    <s v="Clean"/>
  </r>
  <r>
    <s v="ORD-2025-10598"/>
    <d v="2025-07-08T00:00:00"/>
    <d v="2025-07-08T00:00:00"/>
    <n v="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s v="Paid"/>
    <x v="0"/>
    <n v="0.25"/>
    <n v="1855.44"/>
    <n v="592.70000000000005"/>
    <n v="0.3194390548872505"/>
    <x v="0"/>
    <x v="1"/>
    <s v="Clean"/>
  </r>
  <r>
    <s v="ORD-2024-10599"/>
    <d v="2024-08-17T00:00:00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x v="0"/>
    <n v="0.25"/>
    <n v="3354.0524999999998"/>
    <n v="681.38249999999971"/>
    <n v="0.20315200790685289"/>
    <x v="1"/>
    <x v="0"/>
    <s v="Clean"/>
  </r>
  <r>
    <s v="ORD-2024-10600"/>
    <d v="2024-08-19T00:00:00"/>
    <d v="2024-08-21T00:00:00"/>
    <n v="2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s v="Paid"/>
    <x v="0"/>
    <n v="0.25"/>
    <n v="2482.9650000000001"/>
    <n v="861.24500000000012"/>
    <n v="0.34686151435884116"/>
    <x v="1"/>
    <x v="0"/>
    <s v="Clean"/>
  </r>
  <r>
    <s v="ORD-2025-10601"/>
    <d v="2025-05-03T00:00:00"/>
    <d v="2025-03-12T00:00:00"/>
    <n v="-52"/>
    <s v="CUST-6013"/>
    <s v="Ananya Rao"/>
    <x v="2"/>
    <x v="3"/>
    <s v="Madhya Pradesh"/>
    <s v="Indore"/>
    <x v="0"/>
    <x v="8"/>
    <s v="Prime Storage 432"/>
    <x v="1"/>
    <n v="3"/>
    <n v="3682.75"/>
    <n v="0"/>
    <n v="11048.25"/>
    <n v="9062.7199999999993"/>
    <n v="1985.53"/>
    <s v="Paid"/>
    <x v="0"/>
    <n v="0"/>
    <n v="11048.25"/>
    <n v="1985.5300000000007"/>
    <n v="0.17971443441268986"/>
    <x v="4"/>
    <x v="1"/>
    <s v="Warning"/>
  </r>
  <r>
    <s v="ORD-2024-10602"/>
    <d v="2024-01-26T00:00:00"/>
    <d v="2024-01-31T00:00:00"/>
    <n v="5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s v="Paid"/>
    <x v="0"/>
    <n v="0.2"/>
    <n v="6460.12"/>
    <n v="2856.0899999999997"/>
    <n v="0.44211098245853014"/>
    <x v="9"/>
    <x v="0"/>
    <s v="Clean"/>
  </r>
  <r>
    <s v="ORD-2024-10603"/>
    <d v="2024-10-23T00:00:00"/>
    <d v="2024-10-30T00:00:00"/>
    <n v="7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s v="Paid"/>
    <x v="0"/>
    <n v="0.15"/>
    <n v="26192.223000000002"/>
    <n v="5396.6730000000025"/>
    <n v="0.20604104508426041"/>
    <x v="8"/>
    <x v="0"/>
    <s v="Clean"/>
  </r>
  <r>
    <s v="ORD-2025-10604"/>
    <d v="2025-01-03T00:00:00"/>
    <d v="2025-11-01T00:00:00"/>
    <n v="302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s v="Pending"/>
    <x v="1"/>
    <n v="0.05"/>
    <n v="19564.603999999999"/>
    <n v="8410.0139999999992"/>
    <n v="0.42985863654587642"/>
    <x v="9"/>
    <x v="1"/>
    <s v="Clean"/>
  </r>
  <r>
    <s v="ORD-2025-10605"/>
    <d v="2025-05-02T00:00:00"/>
    <d v="2025-02-06T00:00:00"/>
    <n v="-85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s v="Paid"/>
    <x v="0"/>
    <n v="0"/>
    <n v="3228.8999999999996"/>
    <n v="1375.6699999999996"/>
    <n v="0.42604911889497965"/>
    <x v="4"/>
    <x v="1"/>
    <s v="Warning"/>
  </r>
  <r>
    <s v="ORD-2025-10606"/>
    <d v="2025-07-09T00:00:00"/>
    <d v="2025-07-13T00:00:00"/>
    <n v="4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s v="Paid"/>
    <x v="1"/>
    <n v="0.85"/>
    <n v="1260.0075000000002"/>
    <n v="-5188.0424999999996"/>
    <n v="-4.1174695388717915"/>
    <x v="0"/>
    <x v="1"/>
    <s v="Clean"/>
  </r>
  <r>
    <s v="ORD-2025-10607"/>
    <d v="2025-02-22T00:00:00"/>
    <d v="2025-02-28T00:00:00"/>
    <n v="6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s v="Paid"/>
    <x v="0"/>
    <n v="0.25"/>
    <n v="8754.3225000000002"/>
    <n v="2515.4225000000006"/>
    <n v="0.28733491369549163"/>
    <x v="6"/>
    <x v="1"/>
    <s v="Clean"/>
  </r>
  <r>
    <s v="ORD-2025-10608"/>
    <d v="2025-02-16T00:00:00"/>
    <d v="2025-02-22T00:00:00"/>
    <n v="6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s v="Paid"/>
    <x v="0"/>
    <n v="0.15"/>
    <n v="4057.3474999999994"/>
    <n v="1195.3174999999992"/>
    <n v="0.29460565061286947"/>
    <x v="6"/>
    <x v="1"/>
    <s v="Clean"/>
  </r>
  <r>
    <s v="ORD-2024-10609"/>
    <d v="2024-06-21T00:00:00"/>
    <d v="2024-06-23T00:00:00"/>
    <n v="2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s v="Paid"/>
    <x v="0"/>
    <n v="0"/>
    <n v="19383.75"/>
    <n v="7716.32"/>
    <n v="0.39808189849745274"/>
    <x v="2"/>
    <x v="0"/>
    <s v="Clean"/>
  </r>
  <r>
    <s v="ORD-2025-10610"/>
    <d v="2025-01-08T00:00:00"/>
    <d v="2025-12-01T00:00:00"/>
    <n v="327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s v="Paid"/>
    <x v="0"/>
    <n v="0"/>
    <n v="30362.359999999997"/>
    <n v="5296.9599999999955"/>
    <n v="0.17445811195177174"/>
    <x v="9"/>
    <x v="1"/>
    <s v="Clean"/>
  </r>
  <r>
    <s v="ORD-2024-10611"/>
    <d v="2024-05-20T00:00:00"/>
    <d v="2024-05-20T00:00:0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s v="Paid"/>
    <x v="0"/>
    <n v="0.1"/>
    <n v="2729.6549999999997"/>
    <n v="1014.2949999999998"/>
    <n v="0.37158358840219735"/>
    <x v="4"/>
    <x v="0"/>
    <s v="Clean"/>
  </r>
  <r>
    <s v="ORD-2025-10612"/>
    <d v="2025-08-07T00:00:00"/>
    <d v="2025-07-15T00:00:00"/>
    <n v="-23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s v="Paid"/>
    <x v="0"/>
    <n v="0.1"/>
    <n v="4718.0159999999996"/>
    <n v="809.7859999999996"/>
    <n v="0.17163697622051297"/>
    <x v="1"/>
    <x v="1"/>
    <s v="Warning"/>
  </r>
  <r>
    <s v="ORD-2025-10613"/>
    <d v="2025-04-06T00:00:00"/>
    <d v="2025-04-13T00:00:00"/>
    <n v="7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s v="Paid"/>
    <x v="0"/>
    <n v="0"/>
    <n v="3844.01"/>
    <n v="1648.2200000000003"/>
    <n v="0.42877619985379856"/>
    <x v="5"/>
    <x v="1"/>
    <s v="Clean"/>
  </r>
  <r>
    <s v="ORD-2024-10614"/>
    <d v="2024-10-05T00:00:00"/>
    <d v="2024-10-10T00:00:00"/>
    <n v="5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s v="Paid"/>
    <x v="0"/>
    <n v="0.25"/>
    <n v="22688.775000000001"/>
    <n v="8016.3650000000016"/>
    <n v="0.35331854628555315"/>
    <x v="8"/>
    <x v="0"/>
    <s v="Clean"/>
  </r>
  <r>
    <s v="ORD-2024-10615"/>
    <d v="2024-11-02T00:00:00"/>
    <d v="2024-02-19T00:00:00"/>
    <n v="-257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x v="1"/>
    <n v="0.25"/>
    <n v="20389.920000000002"/>
    <n v="3728.84"/>
    <n v="0.18287663708342161"/>
    <x v="3"/>
    <x v="0"/>
    <s v="Warning"/>
  </r>
  <r>
    <s v="ORD-2024-10616"/>
    <d v="2024-10-04T00:00:00"/>
    <d v="2024-10-07T00:00:00"/>
    <n v="3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s v="Paid"/>
    <x v="0"/>
    <n v="0.1"/>
    <n v="5659.884"/>
    <n v="1322.0940000000001"/>
    <n v="0.23359029973052453"/>
    <x v="8"/>
    <x v="0"/>
    <s v="Clean"/>
  </r>
  <r>
    <s v="ORD-2024-10617"/>
    <d v="2024-08-16T00:00:00"/>
    <d v="2024-08-19T00:00:00"/>
    <n v="3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s v="Paid"/>
    <x v="0"/>
    <n v="0.2"/>
    <n v="18842.640000000003"/>
    <n v="7002.0600000000031"/>
    <n v="0.37160716332743193"/>
    <x v="1"/>
    <x v="0"/>
    <s v="Clean"/>
  </r>
  <r>
    <s v="ORD-2024-10618"/>
    <d v="2024-09-29T00:00:00"/>
    <d v="2024-09-30T00:00:00"/>
    <n v="1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s v="Paid"/>
    <x v="0"/>
    <n v="0"/>
    <n v="24677.19"/>
    <n v="4326.34"/>
    <n v="0.17531736798233513"/>
    <x v="11"/>
    <x v="0"/>
    <s v="Clean"/>
  </r>
  <r>
    <s v="ORD-2024-10619"/>
    <d v="2024-07-23T00:00:00"/>
    <d v="2024-07-30T00:00:00"/>
    <n v="7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s v="Failed"/>
    <x v="1"/>
    <n v="0.25"/>
    <n v="12623.242499999998"/>
    <n v="2082.4424999999992"/>
    <n v="0.16496890557239943"/>
    <x v="0"/>
    <x v="0"/>
    <s v="Clean"/>
  </r>
  <r>
    <s v="ORD-2024-10620"/>
    <d v="2024-11-22T00:00:00"/>
    <d v="2024-11-27T00:00:00"/>
    <n v="5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s v="Refunded"/>
    <x v="2"/>
    <n v="0.2"/>
    <n v="3401.0080000000003"/>
    <n v="483.4680000000003"/>
    <n v="0.14215432601158254"/>
    <x v="3"/>
    <x v="0"/>
    <s v="Clean"/>
  </r>
  <r>
    <s v="ORD-2024-10621"/>
    <d v="2024-08-18T00:00:00"/>
    <d v="2024-08-21T00:00:00"/>
    <n v="3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s v="Paid"/>
    <x v="0"/>
    <n v="0"/>
    <n v="6609.06"/>
    <n v="1662.2800000000007"/>
    <n v="0.25151534408826681"/>
    <x v="1"/>
    <x v="0"/>
    <s v="Clean"/>
  </r>
  <r>
    <s v="ORD-2024-10622"/>
    <d v="2024-11-28T00:00:00"/>
    <d v="2024-06-12T00:00:00"/>
    <n v="-169"/>
    <s v="CUST-7236"/>
    <s v="Aditi Sen"/>
    <x v="0"/>
    <x v="3"/>
    <s v="Maharashtra"/>
    <s v="Mumbai"/>
    <x v="1"/>
    <x v="4"/>
    <s v="Max Chairs 748"/>
    <x v="1"/>
    <n v="5"/>
    <n v="1092.8399999999999"/>
    <n v="0"/>
    <n v="5464.2"/>
    <n v="3318.09"/>
    <n v="2146.11"/>
    <s v="Paid"/>
    <x v="0"/>
    <n v="0"/>
    <n v="5464.2"/>
    <n v="2146.1099999999997"/>
    <n v="0.39275831777753373"/>
    <x v="3"/>
    <x v="0"/>
    <s v="Warning"/>
  </r>
  <r>
    <s v="ORD-2025-10623"/>
    <d v="2025-01-29T00:00:00"/>
    <d v="2025-02-06T00:00:00"/>
    <n v="8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s v="Paid"/>
    <x v="0"/>
    <n v="0.05"/>
    <n v="10484.238000000001"/>
    <n v="3804.0880000000016"/>
    <n v="0.36283876806306775"/>
    <x v="9"/>
    <x v="1"/>
    <s v="Clean"/>
  </r>
  <r>
    <s v="ORD-2024-10624"/>
    <d v="2024-08-08T00:00:00"/>
    <d v="2024-08-14T00:00:00"/>
    <n v="6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s v="Paid"/>
    <x v="0"/>
    <n v="0.05"/>
    <n v="10329.843999999999"/>
    <n v="2817.6239999999989"/>
    <n v="0.27276539703794161"/>
    <x v="1"/>
    <x v="0"/>
    <s v="Clean"/>
  </r>
  <r>
    <s v="ORD-2024-10625"/>
    <d v="2024-01-30T00:00:00"/>
    <d v="2024-02-01T00:00:00"/>
    <n v="2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s v="Paid"/>
    <x v="0"/>
    <n v="0.05"/>
    <n v="8456.9569999999985"/>
    <n v="2994.1069999999982"/>
    <n v="0.35404070282017502"/>
    <x v="9"/>
    <x v="0"/>
    <s v="Clean"/>
  </r>
  <r>
    <s v="ORD-2024-10626"/>
    <d v="2024-12-15T00:00:00"/>
    <d v="2024-12-21T00:00:00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x v="0"/>
    <n v="0.2"/>
    <n v="1266.4079999999999"/>
    <n v="282.48799999999994"/>
    <n v="0.22306239379410109"/>
    <x v="7"/>
    <x v="0"/>
    <s v="Clean"/>
  </r>
  <r>
    <s v="ORD-2025-10627"/>
    <d v="2025-04-06T00:00:00"/>
    <d v="2025-06-07T00:00:00"/>
    <n v="62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s v="Pending"/>
    <x v="2"/>
    <n v="0"/>
    <n v="11473.04"/>
    <n v="2541.7100000000009"/>
    <n v="0.22153762211236086"/>
    <x v="5"/>
    <x v="1"/>
    <s v="Clean"/>
  </r>
  <r>
    <s v="ORD-2025-10628"/>
    <d v="2025-02-13T00:00:00"/>
    <d v="2025-02-21T00:00:00"/>
    <n v="8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s v="Pending"/>
    <x v="1"/>
    <n v="0.15"/>
    <n v="4012.0339999999997"/>
    <n v="869.11399999999958"/>
    <n v="0.21662677833737193"/>
    <x v="6"/>
    <x v="1"/>
    <s v="Clean"/>
  </r>
  <r>
    <s v="ORD-2025-10629"/>
    <d v="2025-10-05T00:00:00"/>
    <d v="2025-10-12T00:00:00"/>
    <n v="7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s v="Paid"/>
    <x v="0"/>
    <n v="0.05"/>
    <n v="5364.3554999999997"/>
    <n v="973.0654999999997"/>
    <n v="0.18139467080434915"/>
    <x v="8"/>
    <x v="1"/>
    <s v="Clean"/>
  </r>
  <r>
    <s v="ORD-2025-10630"/>
    <d v="2025-09-10T00:00:00"/>
    <d v="2025-09-14T00:00:00"/>
    <n v="4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s v="Paid"/>
    <x v="0"/>
    <n v="0.15"/>
    <n v="10706.073"/>
    <n v="4778.973"/>
    <n v="0.44637963892082555"/>
    <x v="11"/>
    <x v="1"/>
    <s v="Clean"/>
  </r>
  <r>
    <s v="ORD-2024-10631"/>
    <d v="2024-04-09T00:00:00"/>
    <d v="2024-04-10T00:00:00"/>
    <n v="1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s v="Paid"/>
    <x v="0"/>
    <n v="0.1"/>
    <n v="10969.380000000001"/>
    <n v="1714.9200000000019"/>
    <n v="0.15633700354988173"/>
    <x v="5"/>
    <x v="0"/>
    <s v="Clean"/>
  </r>
  <r>
    <s v="ORD-2024-10632"/>
    <d v="2024-04-10T00:00:00"/>
    <d v="2024-04-15T00:00:00"/>
    <n v="5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s v="Paid"/>
    <x v="0"/>
    <n v="0.1"/>
    <n v="31409.855999999996"/>
    <n v="8886.3159999999953"/>
    <n v="0.2829148914277097"/>
    <x v="5"/>
    <x v="0"/>
    <s v="Clean"/>
  </r>
  <r>
    <s v="ORD-2025-10633"/>
    <d v="2025-04-15T00:00:00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x v="0"/>
    <n v="0"/>
    <n v="14252.650000000001"/>
    <n v="2694.340000000002"/>
    <n v="0.18904133617257154"/>
    <x v="5"/>
    <x v="1"/>
    <s v="Clean"/>
  </r>
  <r>
    <s v="ORD-2025-10634"/>
    <d v="2025-04-18T00:00:00"/>
    <d v="2025-04-20T00:00:0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s v="Paid"/>
    <x v="0"/>
    <n v="0.15"/>
    <n v="1382.1679999999999"/>
    <n v="572.13799999999992"/>
    <n v="0.4139424440444287"/>
    <x v="5"/>
    <x v="1"/>
    <s v="Clean"/>
  </r>
  <r>
    <s v="ORD-2025-10635"/>
    <d v="2025-01-11T00:00:00"/>
    <d v="2025-01-12T00:00:00"/>
    <n v="1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x v="0"/>
    <n v="0.05"/>
    <n v="9223.17"/>
    <n v="4119.47"/>
    <n v="0.44664361602355807"/>
    <x v="9"/>
    <x v="1"/>
    <s v="Clean"/>
  </r>
  <r>
    <s v="ORD-2024-10636"/>
    <d v="2024-05-20T00:00:00"/>
    <d v="2024-05-25T00:00:00"/>
    <n v="5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s v="Paid"/>
    <x v="0"/>
    <n v="0.25"/>
    <n v="16394.962500000001"/>
    <n v="5990.7925000000014"/>
    <n v="0.36540446493854445"/>
    <x v="4"/>
    <x v="0"/>
    <s v="Clean"/>
  </r>
  <r>
    <s v="ORD-2024-10637"/>
    <d v="2024-10-02T00:00:00"/>
    <d v="2024-10-09T00:00:00"/>
    <n v="7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s v="Paid"/>
    <x v="0"/>
    <n v="0.15"/>
    <n v="12990.108"/>
    <n v="2789.3080000000009"/>
    <n v="0.2147255434673831"/>
    <x v="8"/>
    <x v="0"/>
    <s v="Clean"/>
  </r>
  <r>
    <s v="ORD-2024-10638"/>
    <d v="2024-05-26T00:00:00"/>
    <d v="2024-05-26T00:00:00"/>
    <n v="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s v="Paid"/>
    <x v="0"/>
    <n v="0.2"/>
    <n v="5107.9520000000002"/>
    <n v="1974.8720000000003"/>
    <n v="0.38662696908663202"/>
    <x v="4"/>
    <x v="0"/>
    <s v="Clean"/>
  </r>
  <r>
    <s v="ORD-2024-10639"/>
    <d v="2024-01-26T00:00:00"/>
    <d v="2024-01-31T00:00:00"/>
    <n v="5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s v="Failed"/>
    <x v="2"/>
    <n v="0.2"/>
    <n v="7738.3680000000013"/>
    <n v="3111.5180000000009"/>
    <n v="0.40208969126306743"/>
    <x v="9"/>
    <x v="0"/>
    <s v="Clean"/>
  </r>
  <r>
    <s v="ORD-2024-10640"/>
    <d v="2024-12-27T00:00:00"/>
    <d v="2024-12-31T00:00:00"/>
    <n v="4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s v="Paid"/>
    <x v="0"/>
    <n v="0.05"/>
    <n v="1514.9649999999999"/>
    <n v="468.79499999999985"/>
    <n v="0.3094427924077453"/>
    <x v="7"/>
    <x v="0"/>
    <s v="Clean"/>
  </r>
  <r>
    <s v="ORD-2025-10641"/>
    <d v="2025-01-14T00:00:00"/>
    <d v="2025-01-17T00:00:00"/>
    <n v="3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s v="Paid"/>
    <x v="0"/>
    <n v="0.2"/>
    <n v="1267.296"/>
    <n v="343.76600000000008"/>
    <n v="0.27125943741635739"/>
    <x v="9"/>
    <x v="1"/>
    <s v="Clean"/>
  </r>
  <r>
    <s v="ORD-2025-10642"/>
    <d v="2025-04-09T00:00:00"/>
    <d v="2025-04-14T00:00:00"/>
    <n v="5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s v="Paid"/>
    <x v="0"/>
    <n v="0"/>
    <n v="6405.74"/>
    <n v="2843.87"/>
    <n v="0.44395651400150488"/>
    <x v="5"/>
    <x v="1"/>
    <s v="Clean"/>
  </r>
  <r>
    <s v="ORD-2024-10643"/>
    <d v="2024-08-29T00:00:00"/>
    <d v="2024-08-31T00:00:00"/>
    <n v="2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s v="Failed"/>
    <x v="2"/>
    <n v="0.25"/>
    <n v="8607.6674999999996"/>
    <n v="3270.0274999999992"/>
    <n v="0.37989705108846261"/>
    <x v="1"/>
    <x v="0"/>
    <s v="Clean"/>
  </r>
  <r>
    <s v="ORD-2024-10644"/>
    <d v="2024-05-02T00:00:00"/>
    <d v="2024-02-13T00:00:00"/>
    <n v="-79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s v="Failed"/>
    <x v="2"/>
    <n v="0.15"/>
    <n v="26324.023999999998"/>
    <n v="10046.063999999998"/>
    <n v="0.3816310150758106"/>
    <x v="4"/>
    <x v="0"/>
    <s v="Warning"/>
  </r>
  <r>
    <s v="ORD-2025-10645"/>
    <d v="2025-04-10T00:00:00"/>
    <d v="2025-04-17T00:00:00"/>
    <n v="7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s v="Paid"/>
    <x v="0"/>
    <n v="0.05"/>
    <n v="14250.075999999999"/>
    <n v="3335.155999999999"/>
    <n v="0.23404478684885605"/>
    <x v="5"/>
    <x v="1"/>
    <s v="Clean"/>
  </r>
  <r>
    <s v="ORD-2024-10646"/>
    <d v="2024-01-04T00:00:00"/>
    <d v="2024-09-01T00:00:00"/>
    <n v="241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s v="Paid"/>
    <x v="0"/>
    <n v="0.1"/>
    <n v="13087.494000000001"/>
    <n v="5478.6040000000003"/>
    <n v="0.41861367806548755"/>
    <x v="9"/>
    <x v="0"/>
    <s v="Clean"/>
  </r>
  <r>
    <s v="ORD-2024-10647"/>
    <d v="2024-09-18T00:00:00"/>
    <d v="2024-09-24T00:00:00"/>
    <n v="6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s v="Paid"/>
    <x v="0"/>
    <n v="0.25"/>
    <n v="1640.5650000000001"/>
    <n v="503.58500000000004"/>
    <n v="0.30695827352162214"/>
    <x v="11"/>
    <x v="0"/>
    <s v="Clean"/>
  </r>
  <r>
    <s v="ORD-2025-10648"/>
    <d v="2025-01-01T00:00:00"/>
    <d v="2025-09-01T00:00:00"/>
    <n v="243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s v="Paid"/>
    <x v="0"/>
    <n v="0.15"/>
    <n v="14441.907999999999"/>
    <n v="3569.018"/>
    <n v="0.24712925743606731"/>
    <x v="9"/>
    <x v="1"/>
    <s v="Clean"/>
  </r>
  <r>
    <s v="ORD-2024-10649"/>
    <d v="2024-04-21T00:00:00"/>
    <d v="2024-04-24T00:00:00"/>
    <n v="3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s v="Failed"/>
    <x v="2"/>
    <n v="0.2"/>
    <n v="5065.8480000000009"/>
    <n v="1548.6180000000008"/>
    <n v="0.30569768378364304"/>
    <x v="5"/>
    <x v="0"/>
    <s v="Clean"/>
  </r>
  <r>
    <s v="ORD-2025-10650"/>
    <d v="2025-08-11T00:00:00"/>
    <d v="2025-08-19T00:00:00"/>
    <n v="8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s v="Paid"/>
    <x v="0"/>
    <n v="0.25"/>
    <n v="6776.88"/>
    <n v="2940.6400000000003"/>
    <n v="0.43392239496641527"/>
    <x v="1"/>
    <x v="1"/>
    <s v="Clean"/>
  </r>
  <r>
    <s v="ORD-2024-10651"/>
    <d v="2024-04-13T00:00:00"/>
    <d v="2024-04-21T00:00:00"/>
    <n v="8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s v="Failed"/>
    <x v="2"/>
    <n v="0.15"/>
    <n v="15760.121999999999"/>
    <n v="5828.5919999999987"/>
    <n v="0.36983165485647884"/>
    <x v="5"/>
    <x v="0"/>
    <s v="Clean"/>
  </r>
  <r>
    <s v="ORD-2025-10652"/>
    <d v="2025-08-06T00:00:00"/>
    <d v="2025-09-08T00:00:00"/>
    <n v="33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s v="Paid"/>
    <x v="0"/>
    <n v="0"/>
    <n v="1795.6499999999999"/>
    <n v="798.92999999999984"/>
    <n v="0.44492523598696843"/>
    <x v="1"/>
    <x v="1"/>
    <s v="Clean"/>
  </r>
  <r>
    <s v="ORD-2025-10653"/>
    <d v="2025-03-17T00:00:00"/>
    <d v="2025-03-21T00:00:00"/>
    <n v="4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s v="Paid"/>
    <x v="0"/>
    <n v="0.15"/>
    <n v="18362.5075"/>
    <n v="7228.5375000000004"/>
    <n v="0.39365742941153326"/>
    <x v="10"/>
    <x v="1"/>
    <s v="Clean"/>
  </r>
  <r>
    <s v="ORD-2025-10654"/>
    <d v="2025-04-04T00:00:00"/>
    <d v="2025-04-07T00:00:00"/>
    <n v="3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s v="Paid"/>
    <x v="0"/>
    <n v="0.15"/>
    <n v="26524.683500000003"/>
    <n v="5950.3835000000036"/>
    <n v="0.22433381721595294"/>
    <x v="5"/>
    <x v="1"/>
    <s v="Clean"/>
  </r>
  <r>
    <s v="ORD-2025-10655"/>
    <d v="2025-10-12T00:00:00"/>
    <d v="2025-10-16T00:00:00"/>
    <n v="4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s v="Paid"/>
    <x v="0"/>
    <n v="0.2"/>
    <n v="2056.0480000000002"/>
    <n v="393.65800000000013"/>
    <n v="0.19146342886936496"/>
    <x v="8"/>
    <x v="1"/>
    <s v="Clean"/>
  </r>
  <r>
    <s v="ORD-2025-10656"/>
    <d v="2025-08-26T00:00:00"/>
    <d v="2025-08-26T00:00:00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x v="0"/>
    <n v="0"/>
    <n v="8607.2800000000007"/>
    <n v="3483.2700000000004"/>
    <n v="0.40468882155570635"/>
    <x v="1"/>
    <x v="1"/>
    <s v="Clean"/>
  </r>
  <r>
    <s v="ORD-2024-10657"/>
    <d v="2024-07-05T00:00:00"/>
    <d v="2024-05-14T00:00:00"/>
    <n v="-52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x v="0"/>
    <n v="-0.05"/>
    <n v="11554.62"/>
    <n v="3858.3400000000011"/>
    <n v="0.33392184251840396"/>
    <x v="0"/>
    <x v="0"/>
    <s v="Invalid"/>
  </r>
  <r>
    <s v="ORD-2025-10658"/>
    <d v="2025-08-07T00:00:00"/>
    <d v="2025-08-10T00:00:00"/>
    <n v="3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s v="Paid"/>
    <x v="0"/>
    <n v="0.2"/>
    <n v="2033"/>
    <n v="741.58999999999992"/>
    <n v="0.36477619281849477"/>
    <x v="1"/>
    <x v="1"/>
    <s v="Clean"/>
  </r>
  <r>
    <s v="ORD-2025-10659"/>
    <d v="2025-06-09T00:00:00"/>
    <d v="2025-06-12T00:00:00"/>
    <n v="3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s v="Refunded"/>
    <x v="1"/>
    <n v="0"/>
    <n v="19966.940000000002"/>
    <n v="7276.1100000000024"/>
    <n v="0.36440786620283339"/>
    <x v="2"/>
    <x v="1"/>
    <s v="Clean"/>
  </r>
  <r>
    <s v="ORD-2025-10660"/>
    <d v="2025-01-21T00:00:00"/>
    <d v="2025-01-22T00:00:00"/>
    <n v="1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s v="Refunded"/>
    <x v="1"/>
    <n v="0.2"/>
    <n v="710.89600000000007"/>
    <n v="197.01600000000008"/>
    <n v="0.27713758411919615"/>
    <x v="9"/>
    <x v="1"/>
    <s v="Clean"/>
  </r>
  <r>
    <s v="ORD-2025-10661"/>
    <d v="2025-07-15T00:00:00"/>
    <d v="2025-07-15T00:00:00"/>
    <n v="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s v="Paid"/>
    <x v="0"/>
    <n v="0.1"/>
    <n v="15994.476000000001"/>
    <n v="6770.1959999999999"/>
    <n v="0.42328338858991066"/>
    <x v="0"/>
    <x v="1"/>
    <s v="Clean"/>
  </r>
  <r>
    <s v="ORD-2024-10662"/>
    <d v="2024-05-17T00:00:00"/>
    <d v="2024-05-22T00:00:00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s v="Paid"/>
    <x v="0"/>
    <n v="0"/>
    <n v="1627.5"/>
    <n v="687.6"/>
    <n v="0.4224884792626728"/>
    <x v="4"/>
    <x v="0"/>
    <s v="Clean"/>
  </r>
  <r>
    <s v="ORD-2024-10663"/>
    <d v="2024-01-14T00:00:00"/>
    <d v="2024-01-18T00:00:00"/>
    <n v="4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s v="Paid"/>
    <x v="0"/>
    <n v="0.1"/>
    <n v="9637.92"/>
    <n v="2308.63"/>
    <n v="0.2395361239769577"/>
    <x v="9"/>
    <x v="0"/>
    <s v="Clean"/>
  </r>
  <r>
    <s v="ORD-2024-10664"/>
    <d v="2024-05-02T00:00:00"/>
    <d v="2024-05-08T00:00:00"/>
    <n v="6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s v="Paid"/>
    <x v="0"/>
    <n v="-0.24"/>
    <n v="7898.8248000000003"/>
    <n v="4745.8448000000008"/>
    <n v="0.60082922715287979"/>
    <x v="4"/>
    <x v="0"/>
    <s v="Invalid"/>
  </r>
  <r>
    <s v="ORD-2024-10665"/>
    <d v="2024-12-07T00:00:00"/>
    <d v="2024-12-10T00:00:00"/>
    <n v="3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s v="Paid"/>
    <x v="0"/>
    <n v="0.2"/>
    <n v="1527.0640000000001"/>
    <n v="471.17399999999998"/>
    <n v="0.30854895407134209"/>
    <x v="7"/>
    <x v="0"/>
    <s v="Clean"/>
  </r>
  <r>
    <s v="ORD-2025-10666"/>
    <d v="2025-01-13T00:00:00"/>
    <d v="2025-01-13T00:00:00"/>
    <n v="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s v="Failed"/>
    <x v="1"/>
    <n v="0.1"/>
    <n v="5698.4039999999995"/>
    <n v="2057.5139999999997"/>
    <n v="0.36106846759197836"/>
    <x v="9"/>
    <x v="1"/>
    <s v="Clean"/>
  </r>
  <r>
    <s v="ORD-2024-10667"/>
    <d v="2024-06-21T00:00:00"/>
    <d v="2024-06-26T00:00:00"/>
    <n v="5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s v="Paid"/>
    <x v="0"/>
    <n v="0.05"/>
    <n v="265.83849999999995"/>
    <n v="42.348499999999945"/>
    <n v="0.15930160605028976"/>
    <x v="2"/>
    <x v="0"/>
    <s v="Clean"/>
  </r>
  <r>
    <s v="ORD-2025-10668"/>
    <d v="2025-05-20T00:00:00"/>
    <d v="2025-05-27T00:00:00"/>
    <n v="7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s v="Pending"/>
    <x v="2"/>
    <n v="0"/>
    <n v="3959.14"/>
    <n v="719.60999999999967"/>
    <n v="0.18175916992074029"/>
    <x v="4"/>
    <x v="1"/>
    <s v="Clean"/>
  </r>
  <r>
    <s v="ORD-2024-10669"/>
    <d v="2024-11-21T00:00:00"/>
    <d v="2024-11-23T00:00:00"/>
    <n v="2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s v="Paid"/>
    <x v="0"/>
    <n v="0.2"/>
    <n v="2401.84"/>
    <n v="528.73000000000025"/>
    <n v="0.22013539619624964"/>
    <x v="3"/>
    <x v="0"/>
    <s v="Clean"/>
  </r>
  <r>
    <s v="ORD-2024-10670"/>
    <d v="2024-03-24T00:00:00"/>
    <d v="2024-04-01T00:00:00"/>
    <n v="8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s v="Paid"/>
    <x v="0"/>
    <n v="0.25"/>
    <n v="5102.16"/>
    <n v="1875.71"/>
    <n v="0.36763057214983458"/>
    <x v="10"/>
    <x v="0"/>
    <s v="Clean"/>
  </r>
  <r>
    <s v="ORD-2025-10671"/>
    <d v="2025-02-02T00:00:00"/>
    <d v="2025-02-06T00:00:00"/>
    <n v="4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s v="Paid"/>
    <x v="0"/>
    <n v="0.1"/>
    <n v="6176.5920000000006"/>
    <n v="2615.6320000000005"/>
    <n v="0.42347495188285067"/>
    <x v="6"/>
    <x v="1"/>
    <s v="Clean"/>
  </r>
  <r>
    <s v="ORD-2024-10672"/>
    <d v="2024-03-22T00:00:00"/>
    <d v="2024-03-27T00:00:00"/>
    <n v="5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s v="Paid"/>
    <x v="0"/>
    <n v="0.05"/>
    <n v="31203.310500000003"/>
    <n v="13465.180500000002"/>
    <n v="0.43153051020019179"/>
    <x v="10"/>
    <x v="0"/>
    <s v="Clean"/>
  </r>
  <r>
    <s v="ORD-2024-10673"/>
    <d v="2024-09-04T00:00:00"/>
    <d v="2024-09-05T00:00:00"/>
    <n v="1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x v="2"/>
    <n v="0.05"/>
    <n v="12010.5175"/>
    <n v="4145.9075000000003"/>
    <n v="0.34518974723612039"/>
    <x v="11"/>
    <x v="0"/>
    <s v="Clean"/>
  </r>
  <r>
    <s v="ORD-2025-10674"/>
    <d v="2025-02-13T00:00:00"/>
    <d v="2025-02-16T00:00:00"/>
    <n v="3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x v="0"/>
    <n v="0.15"/>
    <n v="13847.86"/>
    <n v="5376.08"/>
    <n v="0.38822460654570451"/>
    <x v="6"/>
    <x v="1"/>
    <s v="Clean"/>
  </r>
  <r>
    <s v="ORD-2024-10675"/>
    <d v="2024-05-18T00:00:00"/>
    <d v="2024-05-21T00:00:00"/>
    <n v="3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s v="Pending"/>
    <x v="2"/>
    <n v="0"/>
    <n v="1033.71"/>
    <n v="402.89"/>
    <n v="0.38975147768716562"/>
    <x v="4"/>
    <x v="0"/>
    <s v="Clean"/>
  </r>
  <r>
    <s v="ORD-2025-10676"/>
    <d v="2025-07-06T00:00:00"/>
    <d v="2025-06-10T00:00:00"/>
    <n v="-26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s v="Paid"/>
    <x v="0"/>
    <n v="0"/>
    <n v="2889.7799999999997"/>
    <n v="1078.5499999999997"/>
    <n v="0.37322910394562903"/>
    <x v="0"/>
    <x v="1"/>
    <s v="Warning"/>
  </r>
  <r>
    <s v="ORD-2025-10677"/>
    <d v="2025-09-11T00:00:00"/>
    <d v="2025-09-18T00:00:00"/>
    <n v="7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x v="0"/>
    <n v="0.15"/>
    <n v="20296.699499999999"/>
    <n v="5375.829499999998"/>
    <n v="0.26486225014071862"/>
    <x v="11"/>
    <x v="1"/>
    <s v="Clean"/>
  </r>
  <r>
    <s v="ORD-2024-10678"/>
    <d v="2024-06-22T00:00:00"/>
    <d v="2024-06-27T00:00:00"/>
    <n v="5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s v="Paid"/>
    <x v="0"/>
    <n v="0"/>
    <n v="18364.36"/>
    <n v="2918.5500000000011"/>
    <n v="0.15892467801763857"/>
    <x v="2"/>
    <x v="0"/>
    <s v="Clean"/>
  </r>
  <r>
    <s v="ORD-2024-10679"/>
    <d v="2024-11-24T00:00:00"/>
    <d v="2024-12-01T00:00:00"/>
    <n v="7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s v="Paid"/>
    <x v="0"/>
    <n v="0.15"/>
    <n v="21141.6165"/>
    <n v="9465.2865000000002"/>
    <n v="0.44770874071999178"/>
    <x v="3"/>
    <x v="0"/>
    <s v="Clean"/>
  </r>
  <r>
    <s v="ORD-2025-10680"/>
    <d v="2025-08-16T00:00:00"/>
    <d v="2025-08-23T00:00:00"/>
    <n v="7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s v="Refunded"/>
    <x v="1"/>
    <n v="0.7"/>
    <n v="1692.6840000000002"/>
    <n v="-2188.826"/>
    <n v="-1.2931096412561351"/>
    <x v="1"/>
    <x v="1"/>
    <s v="Clean"/>
  </r>
  <r>
    <s v="ORD-2024-10681"/>
    <d v="2024-05-29T00:00:00"/>
    <d v="2024-06-05T00:00:00"/>
    <n v="7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s v="Paid"/>
    <x v="0"/>
    <n v="0"/>
    <n v="14800.96"/>
    <n v="2752.5699999999997"/>
    <n v="0.18597239638509933"/>
    <x v="4"/>
    <x v="0"/>
    <s v="Clean"/>
  </r>
  <r>
    <s v="ORD-2024-10682"/>
    <d v="2024-07-04T00:00:00"/>
    <d v="2024-07-10T00:00:00"/>
    <n v="6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s v="Paid"/>
    <x v="1"/>
    <n v="0"/>
    <n v="6001.35"/>
    <n v="1818.3600000000006"/>
    <n v="0.30299182683896131"/>
    <x v="0"/>
    <x v="0"/>
    <s v="Clean"/>
  </r>
  <r>
    <s v="ORD-2025-10683"/>
    <d v="2025-02-05T00:00:00"/>
    <d v="2025-05-02T00:00:00"/>
    <n v="86"/>
    <s v="CUST-1553"/>
    <s v="Ananya Rao"/>
    <x v="2"/>
    <x v="0"/>
    <s v="Haryana"/>
    <s v="Gurugram"/>
    <x v="0"/>
    <x v="8"/>
    <s v="Eco Storage 861"/>
    <x v="1"/>
    <n v="3"/>
    <n v="2590.7800000000002"/>
    <n v="0"/>
    <n v="7383.72"/>
    <n v="4113.66"/>
    <n v="3270.06"/>
    <s v="Paid"/>
    <x v="0"/>
    <n v="0"/>
    <n v="7772.34"/>
    <n v="3658.6800000000003"/>
    <n v="0.47073082237781677"/>
    <x v="6"/>
    <x v="1"/>
    <s v="Clean"/>
  </r>
  <r>
    <s v="ORD-2025-10684"/>
    <d v="2025-07-20T00:00:00"/>
    <d v="2025-07-24T00:00:00"/>
    <n v="4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x v="1"/>
    <n v="0.2"/>
    <n v="7902.9600000000009"/>
    <n v="2390.9300000000012"/>
    <n v="0.30253601182341816"/>
    <x v="0"/>
    <x v="1"/>
    <s v="Clean"/>
  </r>
  <r>
    <s v="ORD-2025-10685"/>
    <d v="2025-07-21T00:00:00"/>
    <d v="2025-07-21T00:00:00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x v="1"/>
    <n v="0.2"/>
    <n v="24621.239999999998"/>
    <n v="7465.7599999999984"/>
    <n v="0.3032243705028666"/>
    <x v="0"/>
    <x v="1"/>
    <s v="Clean"/>
  </r>
  <r>
    <s v="ORD-2025-10686"/>
    <d v="2025-10-01T00:00:00"/>
    <d v="2025-10-03T00:00:00"/>
    <n v="2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s v="Failed"/>
    <x v="1"/>
    <n v="0.55000000000000004"/>
    <n v="3313.5074999999993"/>
    <n v="-2293.2825000000007"/>
    <n v="-0.69210119488185895"/>
    <x v="8"/>
    <x v="1"/>
    <s v="Clean"/>
  </r>
  <r>
    <s v="ORD-2024-10687"/>
    <d v="2024-03-25T00:00:00"/>
    <d v="2024-04-02T00:00:00"/>
    <n v="8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s v="Paid"/>
    <x v="0"/>
    <n v="0"/>
    <n v="4698.26"/>
    <n v="2043.3400000000001"/>
    <n v="0.43491420227914163"/>
    <x v="10"/>
    <x v="0"/>
    <s v="Clean"/>
  </r>
  <r>
    <s v="ORD-2025-10688"/>
    <d v="2025-10-08T00:00:00"/>
    <d v="2025-10-13T00:00:00"/>
    <n v="5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s v="Failed"/>
    <x v="1"/>
    <n v="0"/>
    <n v="688.2"/>
    <n v="190.52000000000004"/>
    <n v="0.27683812845103173"/>
    <x v="8"/>
    <x v="1"/>
    <s v="Clean"/>
  </r>
  <r>
    <s v="ORD-2025-10689"/>
    <d v="2025-02-26T00:00:00"/>
    <d v="2025-02-27T00:00:00"/>
    <n v="1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s v="Paid"/>
    <x v="0"/>
    <n v="0.15"/>
    <n v="15492.065999999999"/>
    <n v="2910.8359999999993"/>
    <n v="0.18789204745190213"/>
    <x v="6"/>
    <x v="1"/>
    <s v="Clean"/>
  </r>
  <r>
    <s v="ORD-2024-10690"/>
    <d v="2024-05-10T00:00:00"/>
    <d v="2024-10-06T00:00:00"/>
    <n v="149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s v="Failed"/>
    <x v="1"/>
    <n v="0.15"/>
    <n v="3745.2870000000003"/>
    <n v="1442.6370000000002"/>
    <n v="0.38518730340291679"/>
    <x v="4"/>
    <x v="0"/>
    <s v="Clean"/>
  </r>
  <r>
    <s v="ORD-2024-10691"/>
    <d v="2024-09-11T00:00:00"/>
    <d v="2024-09-15T00:00:00"/>
    <n v="4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s v="Failed"/>
    <x v="2"/>
    <n v="0"/>
    <n v="3462.52"/>
    <n v="665.23"/>
    <n v="0.19212307798944123"/>
    <x v="11"/>
    <x v="0"/>
    <s v="Clean"/>
  </r>
  <r>
    <s v="ORD-2024-10692"/>
    <d v="2024-12-15T00:00:00"/>
    <d v="2024-12-16T00:00:00"/>
    <n v="1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s v="Paid"/>
    <x v="0"/>
    <n v="0.05"/>
    <n v="8767.1699999999983"/>
    <n v="3668.9699999999984"/>
    <n v="0.41848966085977563"/>
    <x v="7"/>
    <x v="0"/>
    <s v="Clean"/>
  </r>
  <r>
    <s v="ORD-2025-10693"/>
    <d v="2025-05-10T00:00:00"/>
    <d v="2025-10-10T00:00:00"/>
    <n v="153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x v="0"/>
    <n v="0.1"/>
    <n v="8516.4480000000003"/>
    <n v="2612.6379999999999"/>
    <n v="0.30677554774009069"/>
    <x v="4"/>
    <x v="1"/>
    <s v="Clean"/>
  </r>
  <r>
    <s v="ORD-2025-10694"/>
    <d v="2025-03-04T00:00:00"/>
    <d v="2025-04-11T00:00:00"/>
    <n v="38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x v="0"/>
    <n v="0.05"/>
    <n v="11826.844500000001"/>
    <n v="3790.884500000001"/>
    <n v="0.32053220112938835"/>
    <x v="10"/>
    <x v="1"/>
    <s v="Clean"/>
  </r>
  <r>
    <s v="ORD-2025-10695"/>
    <d v="2025-01-08T00:00:00"/>
    <d v="2025-09-08T00:00:00"/>
    <n v="243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x v="0"/>
    <n v="0.15"/>
    <n v="11629.019999999999"/>
    <n v="2001.8099999999995"/>
    <n v="0.17213918283741877"/>
    <x v="9"/>
    <x v="1"/>
    <s v="Clean"/>
  </r>
  <r>
    <s v="ORD-2024-10696"/>
    <d v="2024-07-01T00:00:00"/>
    <d v="2024-01-07T00:00:00"/>
    <n v="-176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s v="Paid"/>
    <x v="0"/>
    <n v="0"/>
    <n v="1029.56"/>
    <n v="403.2299999999999"/>
    <n v="0.39165274486188267"/>
    <x v="0"/>
    <x v="0"/>
    <s v="Warning"/>
  </r>
  <r>
    <s v="ORD-2025-10697"/>
    <d v="2025-09-22T00:00:00"/>
    <d v="2025-09-25T00:00:00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s v="Paid"/>
    <x v="0"/>
    <n v="0.25"/>
    <n v="3536.5199999999995"/>
    <n v="1434.1099999999997"/>
    <n v="0.40551446054313278"/>
    <x v="11"/>
    <x v="1"/>
    <s v="Clean"/>
  </r>
  <r>
    <s v="ORD-2025-10698"/>
    <d v="2025-03-01T00:00:00"/>
    <d v="2025-07-03T00:00:00"/>
    <n v="124"/>
    <s v="CUST-6205"/>
    <s v="Arjun Bose"/>
    <x v="2"/>
    <x v="2"/>
    <s v="Andhra Pradesh"/>
    <s v="Vijayawada"/>
    <x v="0"/>
    <x v="7"/>
    <s v="Max Labels 970"/>
    <x v="2"/>
    <n v="7"/>
    <n v="567.15"/>
    <n v="0"/>
    <n v="2977.54"/>
    <n v="1849.3"/>
    <n v="1128.24"/>
    <s v="Refunded"/>
    <x v="2"/>
    <n v="0"/>
    <n v="3970.0499999999997"/>
    <n v="2120.75"/>
    <n v="0.53418722686112274"/>
    <x v="10"/>
    <x v="1"/>
    <s v="Clean"/>
  </r>
  <r>
    <s v="ORD-2024-10699"/>
    <d v="2024-09-14T00:00:00"/>
    <d v="2024-09-14T00:00:00"/>
    <n v="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s v="Paid"/>
    <x v="2"/>
    <n v="0.15"/>
    <n v="27755.287999999997"/>
    <n v="4003.377999999997"/>
    <n v="0.14423838801456493"/>
    <x v="11"/>
    <x v="0"/>
    <s v="Clean"/>
  </r>
  <r>
    <s v="ORD-2024-10700"/>
    <d v="2024-06-11T00:00:00"/>
    <d v="2024-06-11T00:00:00"/>
    <n v="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s v="Paid"/>
    <x v="0"/>
    <n v="0.25"/>
    <n v="9450.7425000000003"/>
    <n v="1652.1824999999999"/>
    <n v="0.17482039109625511"/>
    <x v="2"/>
    <x v="0"/>
    <s v="Clean"/>
  </r>
  <r>
    <s v="ORD-2024-10701"/>
    <d v="2024-09-18T00:00:00"/>
    <d v="2024-09-21T00:00:00"/>
    <n v="3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s v="Paid"/>
    <x v="0"/>
    <n v="0.15"/>
    <n v="7792.5450000000001"/>
    <n v="3100.8150000000005"/>
    <n v="0.39792070498149201"/>
    <x v="11"/>
    <x v="0"/>
    <s v="Clean"/>
  </r>
  <r>
    <s v="ORD-2024-10702"/>
    <d v="2024-04-30T00:00:00"/>
    <d v="2024-05-04T00:00:00"/>
    <n v="4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s v="Paid"/>
    <x v="2"/>
    <n v="0"/>
    <n v="8574.58"/>
    <n v="1888.7699999999995"/>
    <n v="0.22027551203674112"/>
    <x v="5"/>
    <x v="0"/>
    <s v="Clean"/>
  </r>
  <r>
    <s v="ORD-2025-10703"/>
    <d v="2025-02-02T00:00:00"/>
    <d v="2025-02-06T00:00:00"/>
    <n v="4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s v="Paid"/>
    <x v="0"/>
    <n v="0.1"/>
    <n v="2692.8180000000002"/>
    <n v="872.73800000000028"/>
    <n v="0.32409839803506968"/>
    <x v="6"/>
    <x v="1"/>
    <s v="Clean"/>
  </r>
  <r>
    <s v="ORD-2024-10704"/>
    <d v="2024-10-19T00:00:00"/>
    <d v="2024-10-20T00:00:00"/>
    <n v="1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s v="Paid"/>
    <x v="0"/>
    <n v="0.1"/>
    <n v="1035.027"/>
    <n v="180.67700000000002"/>
    <n v="0.1745625959516032"/>
    <x v="8"/>
    <x v="0"/>
    <s v="Clean"/>
  </r>
  <r>
    <s v="ORD-2024-10705"/>
    <d v="2024-03-13T00:00:00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x v="0"/>
    <n v="0.15"/>
    <n v="2401.7855"/>
    <n v="581.44550000000004"/>
    <n v="0.24208885431276025"/>
    <x v="10"/>
    <x v="0"/>
    <s v="Clean"/>
  </r>
  <r>
    <s v="ORD-2024-10706"/>
    <d v="2024-09-08T00:00:00"/>
    <d v="2024-09-14T00:00:00"/>
    <n v="6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s v="Paid"/>
    <x v="0"/>
    <n v="0.05"/>
    <n v="16015.8125"/>
    <n v="4663.4325000000008"/>
    <n v="0.29117676671102394"/>
    <x v="11"/>
    <x v="0"/>
    <s v="Clean"/>
  </r>
  <r>
    <s v="ORD-2024-10707"/>
    <d v="2024-06-24T00:00:00"/>
    <d v="2024-06-28T00:00:00"/>
    <n v="4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s v="Paid"/>
    <x v="0"/>
    <n v="0.1"/>
    <n v="1901.4750000000001"/>
    <n v="547.19500000000016"/>
    <n v="0.28777396494826391"/>
    <x v="2"/>
    <x v="0"/>
    <s v="Clean"/>
  </r>
  <r>
    <s v="ORD-2025-10708"/>
    <d v="2025-06-24T00:00:00"/>
    <d v="2025-06-26T00:00:00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x v="0"/>
    <n v="0.55000000000000004"/>
    <n v="8375.9849999999988"/>
    <n v="-3302.3350000000009"/>
    <n v="-0.39426228676388525"/>
    <x v="2"/>
    <x v="1"/>
    <s v="Clean"/>
  </r>
  <r>
    <s v="ORD-2025-10709"/>
    <d v="2025-03-20T00:00:00"/>
    <d v="2025-03-26T00:00:00"/>
    <n v="6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s v="Paid"/>
    <x v="0"/>
    <n v="0.05"/>
    <n v="16559.108"/>
    <n v="3325.3179999999993"/>
    <n v="0.20081504390212318"/>
    <x v="10"/>
    <x v="1"/>
    <s v="Clean"/>
  </r>
  <r>
    <s v="ORD-2025-10710"/>
    <d v="2025-01-19T00:00:00"/>
    <d v="2025-01-23T00:00:00"/>
    <n v="4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s v="Paid"/>
    <x v="1"/>
    <n v="0.15"/>
    <n v="8110.0879999999988"/>
    <n v="1692.7679999999991"/>
    <n v="0.2087237524426368"/>
    <x v="9"/>
    <x v="1"/>
    <s v="Clean"/>
  </r>
  <r>
    <s v="ORD-2024-10711"/>
    <d v="2024-07-12T00:00:00"/>
    <d v="2024-07-19T00:00:00"/>
    <n v="7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s v="Paid"/>
    <x v="0"/>
    <n v="0.05"/>
    <n v="7406.01"/>
    <n v="1464.2700000000004"/>
    <n v="0.19771374869869207"/>
    <x v="0"/>
    <x v="0"/>
    <s v="Clean"/>
  </r>
  <r>
    <s v="ORD-2025-10712"/>
    <d v="2025-02-02T00:00:00"/>
    <d v="2025-02-02T00:00:00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s v="Pending"/>
    <x v="2"/>
    <n v="0.05"/>
    <n v="4110.4124999999995"/>
    <n v="1716.2724999999996"/>
    <n v="0.41754264322619683"/>
    <x v="6"/>
    <x v="1"/>
    <s v="Clean"/>
  </r>
  <r>
    <s v="ORD-2024-10713"/>
    <d v="2024-02-10T00:00:00"/>
    <d v="2024-02-18T00:00:00"/>
    <n v="8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x v="0"/>
    <n v="0"/>
    <n v="9680.0199999999986"/>
    <n v="2803.3599999999988"/>
    <n v="0.28960270743242256"/>
    <x v="6"/>
    <x v="0"/>
    <s v="Clean"/>
  </r>
  <r>
    <s v="ORD-2025-10714"/>
    <d v="2025-06-06T00:00:00"/>
    <d v="2025-06-10T00:00:00"/>
    <n v="4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s v="Paid"/>
    <x v="0"/>
    <n v="0.25"/>
    <n v="217.47750000000002"/>
    <n v="85.347500000000025"/>
    <n v="0.39244289639158081"/>
    <x v="2"/>
    <x v="1"/>
    <s v="Clean"/>
  </r>
  <r>
    <s v="ORD-2025-10715"/>
    <d v="2025-03-22T00:00:00"/>
    <d v="2025-03-23T00:00:00"/>
    <n v="1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s v="Paid"/>
    <x v="0"/>
    <n v="0"/>
    <n v="18675.18"/>
    <n v="4700.4799999999996"/>
    <n v="0.25169663692665878"/>
    <x v="10"/>
    <x v="1"/>
    <s v="Clean"/>
  </r>
  <r>
    <s v="ORD-2025-10716"/>
    <d v="2025-08-22T00:00:00"/>
    <d v="2025-08-27T00:00:00"/>
    <n v="5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s v="Refunded"/>
    <x v="1"/>
    <n v="0"/>
    <n v="19901.63"/>
    <n v="4409.6000000000004"/>
    <n v="0.22156979101711771"/>
    <x v="1"/>
    <x v="1"/>
    <s v="Clean"/>
  </r>
  <r>
    <s v="ORD-2025-10717"/>
    <d v="2025-08-26T00:00:00"/>
    <d v="2025-08-31T00:00:00"/>
    <n v="5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s v="Paid"/>
    <x v="0"/>
    <n v="0.15"/>
    <n v="2879.817"/>
    <n v="1054.9369999999999"/>
    <n v="0.3663208460815392"/>
    <x v="1"/>
    <x v="1"/>
    <s v="Clean"/>
  </r>
  <r>
    <s v="ORD-2025-10718"/>
    <d v="2025-12-10T00:00:00"/>
    <d v="2025-10-15T00:00:00"/>
    <n v="-56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s v="Pending"/>
    <x v="1"/>
    <n v="0.2"/>
    <n v="18712.223999999998"/>
    <n v="6860.003999999999"/>
    <n v="0.3666054874075898"/>
    <x v="7"/>
    <x v="1"/>
    <s v="Warning"/>
  </r>
  <r>
    <s v="ORD-2024-10719"/>
    <d v="2024-09-06T00:00:00"/>
    <d v="2024-09-09T00:00:00"/>
    <n v="3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s v="Paid"/>
    <x v="0"/>
    <n v="0.2"/>
    <n v="4733.4479999999994"/>
    <n v="1061.1279999999992"/>
    <n v="0.22417654107534282"/>
    <x v="11"/>
    <x v="0"/>
    <s v="Clean"/>
  </r>
  <r>
    <s v="ORD-2025-10720"/>
    <d v="2025-09-08T00:00:00"/>
    <d v="2025-09-09T00:00:00"/>
    <n v="1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x v="0"/>
    <n v="0.2"/>
    <n v="3795.8559999999998"/>
    <n v="1530.9359999999997"/>
    <n v="0.40331772332775528"/>
    <x v="11"/>
    <x v="1"/>
    <s v="Clean"/>
  </r>
  <r>
    <s v="ORD-2024-10721"/>
    <d v="2024-07-16T00:00:00"/>
    <d v="2024-07-16T00:00:00"/>
    <n v="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s v="Paid"/>
    <x v="0"/>
    <n v="0.15"/>
    <n v="15231.727999999999"/>
    <n v="2780.268"/>
    <n v="0.1825313582280356"/>
    <x v="0"/>
    <x v="0"/>
    <s v="Clean"/>
  </r>
  <r>
    <s v="ORD-2025-10722"/>
    <d v="2025-06-19T00:00:00"/>
    <d v="2025-06-23T00:00:00"/>
    <n v="4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s v="Paid"/>
    <x v="0"/>
    <n v="0"/>
    <n v="13649.75"/>
    <n v="3361.7199999999993"/>
    <n v="0.24628436418249414"/>
    <x v="2"/>
    <x v="1"/>
    <s v="Clean"/>
  </r>
  <r>
    <s v="ORD-2024-10723"/>
    <d v="2024-10-07T00:00:00"/>
    <d v="2024-10-10T00:00:00"/>
    <n v="3"/>
    <s v="CUST-8844"/>
    <s v="Vikram Iyer"/>
    <x v="0"/>
    <x v="1"/>
    <s v="West Bengal"/>
    <s v="Kolkata"/>
    <x v="1"/>
    <x v="4"/>
    <s v="Eco Chairs 442"/>
    <x v="0"/>
    <n v="9"/>
    <n v="481.51"/>
    <n v="0"/>
    <n v="4333.59"/>
    <n v="2533.59"/>
    <n v="1800"/>
    <s v="Refunded"/>
    <x v="1"/>
    <n v="0"/>
    <n v="4333.59"/>
    <n v="1800"/>
    <n v="0.41536001329152039"/>
    <x v="8"/>
    <x v="0"/>
    <s v="Clean"/>
  </r>
  <r>
    <s v="ORD-2025-10724"/>
    <d v="2025-10-06T00:00:00"/>
    <d v="2025-10-13T00:00:00"/>
    <n v="7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s v="Failed"/>
    <x v="2"/>
    <n v="0.05"/>
    <n v="13634.000999999998"/>
    <n v="4044.1909999999989"/>
    <n v="0.29662539998346776"/>
    <x v="8"/>
    <x v="1"/>
    <s v="Clean"/>
  </r>
  <r>
    <s v="ORD-2024-10725"/>
    <d v="2024-02-10T00:00:00"/>
    <d v="2024-02-16T00:00:00"/>
    <n v="6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s v="Paid"/>
    <x v="0"/>
    <n v="0"/>
    <n v="760.29"/>
    <n v="262.52"/>
    <n v="0.34528929750489945"/>
    <x v="6"/>
    <x v="0"/>
    <s v="Clean"/>
  </r>
  <r>
    <s v="ORD-2025-10726"/>
    <d v="2025-10-05T00:00:00"/>
    <d v="2025-10-12T00:00:00"/>
    <n v="7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s v="Paid"/>
    <x v="0"/>
    <n v="0"/>
    <n v="14943.11"/>
    <n v="6421.6100000000006"/>
    <n v="0.42973718322357263"/>
    <x v="8"/>
    <x v="1"/>
    <s v="Clean"/>
  </r>
  <r>
    <s v="ORD-2024-10727"/>
    <d v="2024-01-17T00:00:00"/>
    <d v="2024-01-23T00:00:00"/>
    <n v="6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s v="Pending"/>
    <x v="2"/>
    <n v="0.2"/>
    <n v="8072"/>
    <n v="2692.7799999999997"/>
    <n v="0.33359514370664023"/>
    <x v="9"/>
    <x v="0"/>
    <s v="Clean"/>
  </r>
  <r>
    <s v="ORD-2024-10728"/>
    <d v="2024-10-13T00:00:00"/>
    <d v="2024-10-13T00:00:00"/>
    <n v="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s v="Paid"/>
    <x v="0"/>
    <n v="0.05"/>
    <n v="28353.015999999996"/>
    <n v="9095.1659999999974"/>
    <n v="0.3207830165228277"/>
    <x v="8"/>
    <x v="0"/>
    <s v="Clean"/>
  </r>
  <r>
    <s v="ORD-2024-10729"/>
    <d v="2024-01-04T00:00:00"/>
    <d v="2024-07-01T00:00:00"/>
    <n v="179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s v="Paid"/>
    <x v="0"/>
    <n v="0.15"/>
    <n v="2008.567"/>
    <n v="813.73700000000008"/>
    <n v="0.40513311231340554"/>
    <x v="9"/>
    <x v="0"/>
    <s v="Clean"/>
  </r>
  <r>
    <s v="ORD-2025-10730"/>
    <d v="2025-05-17T00:00:00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x v="0"/>
    <n v="0.15"/>
    <n v="9234.2129999999997"/>
    <n v="3717.6929999999993"/>
    <n v="0.40259987505161504"/>
    <x v="4"/>
    <x v="1"/>
    <s v="Clean"/>
  </r>
  <r>
    <s v="ORD-2025-10731"/>
    <d v="2025-06-19T00:00:00"/>
    <d v="2025-06-24T00:00:00"/>
    <n v="5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s v="Refunded"/>
    <x v="2"/>
    <n v="0.15"/>
    <n v="2658.8339999999998"/>
    <n v="431.86400000000003"/>
    <n v="0.16242608602116568"/>
    <x v="2"/>
    <x v="1"/>
    <s v="Clean"/>
  </r>
  <r>
    <s v="ORD-2024-10732"/>
    <d v="2024-03-17T00:00:00"/>
    <d v="2024-03-19T00:00:00"/>
    <n v="2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s v="Paid"/>
    <x v="0"/>
    <n v="0.1"/>
    <n v="15756.048000000001"/>
    <n v="5510.6080000000002"/>
    <n v="0.3497455707167178"/>
    <x v="10"/>
    <x v="0"/>
    <s v="Clean"/>
  </r>
  <r>
    <s v="ORD-2024-10733"/>
    <d v="2024-11-28T00:00:00"/>
    <d v="2024-12-06T00:00:00"/>
    <n v="8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s v="Paid"/>
    <x v="0"/>
    <n v="0"/>
    <n v="14787.78"/>
    <n v="6191.130000000001"/>
    <n v="0.41866527632950995"/>
    <x v="3"/>
    <x v="0"/>
    <s v="Clean"/>
  </r>
  <r>
    <s v="ORD-2024-10734"/>
    <d v="2024-06-21T00:00:00"/>
    <d v="2024-06-28T00:00:00"/>
    <n v="7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s v="Paid"/>
    <x v="0"/>
    <n v="0"/>
    <n v="25181.64"/>
    <n v="9843.74"/>
    <n v="0.39090940860086953"/>
    <x v="2"/>
    <x v="0"/>
    <s v="Clean"/>
  </r>
  <r>
    <s v="ORD-2024-10735"/>
    <d v="2024-08-24T00:00:00"/>
    <d v="2024-08-24T00:00:00"/>
    <n v="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s v="Paid"/>
    <x v="0"/>
    <n v="0.2"/>
    <n v="8837.9520000000011"/>
    <n v="2680.6820000000007"/>
    <n v="0.30331484036120587"/>
    <x v="1"/>
    <x v="0"/>
    <s v="Clean"/>
  </r>
  <r>
    <s v="ORD-2024-10736"/>
    <d v="2024-08-11T00:00:00"/>
    <d v="2024-08-19T00:00:00"/>
    <n v="8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s v="Paid"/>
    <x v="0"/>
    <n v="0.2"/>
    <n v="7275.7920000000004"/>
    <n v="1122.9220000000005"/>
    <n v="0.15433673749881804"/>
    <x v="1"/>
    <x v="0"/>
    <s v="Clean"/>
  </r>
  <r>
    <s v="ORD-2024-10737"/>
    <d v="2024-12-06T00:00:00"/>
    <d v="2024-09-12T00:00:00"/>
    <n v="-85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s v="Paid"/>
    <x v="0"/>
    <n v="0.1"/>
    <n v="2355.0750000000003"/>
    <n v="1005.0450000000003"/>
    <n v="0.42675710964618968"/>
    <x v="7"/>
    <x v="0"/>
    <s v="Warning"/>
  </r>
  <r>
    <s v="ORD-2024-10738"/>
    <d v="2024-02-10T00:00:00"/>
    <d v="2024-02-10T00:00:00"/>
    <n v="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s v="Paid"/>
    <x v="0"/>
    <n v="0"/>
    <n v="3609.12"/>
    <n v="963.61999999999989"/>
    <n v="0.2669958327791816"/>
    <x v="6"/>
    <x v="0"/>
    <s v="Clean"/>
  </r>
  <r>
    <s v="ORD-2025-10739"/>
    <d v="2025-02-20T00:00:00"/>
    <d v="2025-02-22T00:00:00"/>
    <n v="2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s v="Paid"/>
    <x v="0"/>
    <n v="0"/>
    <n v="2188.19"/>
    <n v="889.35000000000014"/>
    <n v="0.40643179979800664"/>
    <x v="6"/>
    <x v="1"/>
    <s v="Clean"/>
  </r>
  <r>
    <s v="ORD-2024-10740"/>
    <d v="2024-12-03T00:00:00"/>
    <d v="2024-12-10T00:00:00"/>
    <n v="7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s v="Paid"/>
    <x v="0"/>
    <n v="0.05"/>
    <n v="11370.835000000001"/>
    <n v="3901.255000000001"/>
    <n v="0.34309309738466881"/>
    <x v="7"/>
    <x v="0"/>
    <s v="Clean"/>
  </r>
  <r>
    <s v="ORD-2024-10741"/>
    <d v="2024-04-02T00:00:00"/>
    <d v="2024-04-02T00:00:00"/>
    <n v="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s v="Paid"/>
    <x v="0"/>
    <n v="0.1"/>
    <n v="9298.8000000000011"/>
    <n v="2750.3000000000011"/>
    <n v="0.29576934658235482"/>
    <x v="5"/>
    <x v="0"/>
    <s v="Clean"/>
  </r>
  <r>
    <s v="ORD-2025-10742"/>
    <d v="2025-04-23T00:00:00"/>
    <d v="2025-04-25T00:00:00"/>
    <n v="2"/>
    <s v="CUST-3285"/>
    <s v="Isha Nair"/>
    <x v="3"/>
    <x v="2"/>
    <s v="Tamil Nadu"/>
    <s v="Chennai"/>
    <x v="1"/>
    <x v="4"/>
    <s v="Max Chairs 706"/>
    <x v="0"/>
    <n v="3"/>
    <n v="2951.12"/>
    <n v="0"/>
    <n v="7082.69"/>
    <n v="5596.34"/>
    <n v="1486.35"/>
    <s v="Paid"/>
    <x v="1"/>
    <n v="0"/>
    <n v="8853.36"/>
    <n v="3257.0200000000004"/>
    <n v="0.36788518709280998"/>
    <x v="5"/>
    <x v="1"/>
    <s v="Clean"/>
  </r>
  <r>
    <s v="ORD-2024-10743"/>
    <d v="2024-10-15T00:00:00"/>
    <d v="2024-10-22T00:00:00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x v="0"/>
    <n v="0"/>
    <n v="9043.7999999999993"/>
    <n v="3130.4199999999992"/>
    <n v="0.34613989694597397"/>
    <x v="8"/>
    <x v="0"/>
    <s v="Clean"/>
  </r>
  <r>
    <s v="ORD-2025-10744"/>
    <d v="2025-02-12T00:00:00"/>
    <d v="2025-02-14T00:00:00"/>
    <n v="2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s v="Paid"/>
    <x v="0"/>
    <n v="0.25"/>
    <n v="2211.2999999999997"/>
    <n v="475.65999999999963"/>
    <n v="0.21510423732645942"/>
    <x v="6"/>
    <x v="1"/>
    <s v="Clean"/>
  </r>
  <r>
    <s v="ORD-2025-10745"/>
    <d v="2025-08-17T00:00:00"/>
    <d v="2025-08-20T00:00:00"/>
    <n v="3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s v="Paid"/>
    <x v="1"/>
    <n v="0.1"/>
    <n v="12158.504999999999"/>
    <n v="1898.4349999999995"/>
    <n v="0.15614049589155901"/>
    <x v="1"/>
    <x v="1"/>
    <s v="Clean"/>
  </r>
  <r>
    <s v="ORD-2024-10746"/>
    <d v="2024-10-24T00:00:00"/>
    <d v="2024-10-28T00:00:00"/>
    <n v="4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s v="Paid"/>
    <x v="0"/>
    <n v="0.2"/>
    <n v="1736.616"/>
    <n v="677.096"/>
    <n v="0.38989390861307277"/>
    <x v="8"/>
    <x v="0"/>
    <s v="Clean"/>
  </r>
  <r>
    <s v="ORD-2025-10747"/>
    <d v="2025-01-04T00:00:00"/>
    <d v="2025-10-01T00:00:00"/>
    <n v="27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s v="Paid"/>
    <x v="0"/>
    <n v="0.2"/>
    <n v="8266.2080000000005"/>
    <n v="2029.8880000000008"/>
    <n v="0.24556459261610653"/>
    <x v="9"/>
    <x v="1"/>
    <s v="Clean"/>
  </r>
  <r>
    <s v="ORD-2024-10748"/>
    <d v="2024-05-01T00:00:00"/>
    <d v="2024-05-07T00:00:00"/>
    <n v="6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x v="0"/>
    <n v="0.15"/>
    <n v="10022.044"/>
    <n v="4445.0640000000003"/>
    <n v="0.44352868536597928"/>
    <x v="4"/>
    <x v="0"/>
    <s v="Clean"/>
  </r>
  <r>
    <s v="ORD-2024-10749"/>
    <d v="2024-05-30T00:00:00"/>
    <d v="2024-05-30T00:00:00"/>
    <n v="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s v="Paid"/>
    <x v="0"/>
    <n v="0.25"/>
    <n v="2886.0299999999997"/>
    <n v="821.19999999999982"/>
    <n v="0.28454312671732446"/>
    <x v="4"/>
    <x v="0"/>
    <s v="Clean"/>
  </r>
  <r>
    <s v="ORD-2024-10750"/>
    <d v="2024-03-21T00:00:00"/>
    <d v="2024-03-25T00:00:00"/>
    <n v="4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s v="Paid"/>
    <x v="0"/>
    <n v="0.15"/>
    <n v="1459.1949999999999"/>
    <n v="403.40499999999997"/>
    <n v="0.27645722470266137"/>
    <x v="10"/>
    <x v="0"/>
    <s v="Clean"/>
  </r>
  <r>
    <s v="ORD-2025-10751"/>
    <d v="2025-06-02T00:00:00"/>
    <d v="2025-06-02T00:00:00"/>
    <n v="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s v="Paid"/>
    <x v="0"/>
    <n v="0.15"/>
    <n v="26696.323999999997"/>
    <n v="3971.8039999999964"/>
    <n v="0.14877718745097629"/>
    <x v="2"/>
    <x v="1"/>
    <s v="Clean"/>
  </r>
  <r>
    <s v="ORD-2025-10752"/>
    <d v="2025-07-18T00:00:00"/>
    <d v="2025-07-19T00:00:00"/>
    <n v="1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s v="Paid"/>
    <x v="0"/>
    <n v="0.05"/>
    <n v="8445.2624999999989"/>
    <n v="1507.6624999999985"/>
    <n v="0.17852168597482893"/>
    <x v="0"/>
    <x v="1"/>
    <s v="Clean"/>
  </r>
  <r>
    <s v="ORD-2024-10753"/>
    <d v="2024-03-24T00:00:00"/>
    <d v="2024-03-27T00:00:00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x v="0"/>
    <n v="0.05"/>
    <n v="11709.794999999998"/>
    <n v="3337.5049999999974"/>
    <n v="0.28501822619439521"/>
    <x v="10"/>
    <x v="0"/>
    <s v="Clean"/>
  </r>
  <r>
    <s v="ORD-2024-10754"/>
    <d v="2024-08-11T00:00:00"/>
    <d v="2024-10-08T00:00:00"/>
    <n v="58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s v="Failed"/>
    <x v="2"/>
    <n v="0.15"/>
    <n v="2593.9109999999996"/>
    <n v="745.43099999999959"/>
    <n v="0.28737724617382776"/>
    <x v="1"/>
    <x v="0"/>
    <s v="Clean"/>
  </r>
  <r>
    <s v="ORD-2025-10755"/>
    <d v="2025-06-04T00:00:00"/>
    <d v="2025-06-04T00:00:00"/>
    <n v="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s v="Paid"/>
    <x v="0"/>
    <n v="0.25"/>
    <n v="2674.02"/>
    <n v="466.44999999999982"/>
    <n v="0.17443773793763689"/>
    <x v="2"/>
    <x v="1"/>
    <s v="Clean"/>
  </r>
  <r>
    <s v="ORD-2025-10756"/>
    <d v="2025-07-20T00:00:00"/>
    <d v="2025-07-24T00:00:00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x v="0"/>
    <n v="0.2"/>
    <n v="9926.9599999999991"/>
    <n v="1931.9799999999996"/>
    <n v="0.19461950083409219"/>
    <x v="0"/>
    <x v="1"/>
    <s v="Clean"/>
  </r>
  <r>
    <s v="ORD-2024-10757"/>
    <d v="2024-10-27T00:00:00"/>
    <d v="2024-11-01T00:00:00"/>
    <n v="5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s v="Paid"/>
    <x v="2"/>
    <n v="0.2"/>
    <n v="12191.76"/>
    <n v="1734.2700000000004"/>
    <n v="0.14224935530226976"/>
    <x v="8"/>
    <x v="0"/>
    <s v="Clean"/>
  </r>
  <r>
    <s v="ORD-2025-10758"/>
    <d v="2025-08-01T00:00:00"/>
    <d v="2025-08-03T00:00:00"/>
    <n v="2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s v="Failed"/>
    <x v="1"/>
    <n v="0.25"/>
    <n v="4285.7550000000001"/>
    <n v="1899.4250000000002"/>
    <n v="0.44319495631458172"/>
    <x v="1"/>
    <x v="1"/>
    <s v="Clean"/>
  </r>
  <r>
    <s v="ORD-2024-10759"/>
    <d v="2024-05-02T00:00:00"/>
    <d v="2024-05-10T00:00:00"/>
    <n v="8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s v="Paid"/>
    <x v="0"/>
    <n v="0"/>
    <n v="4166.91"/>
    <n v="754.27999999999975"/>
    <n v="0.18101662862888801"/>
    <x v="4"/>
    <x v="0"/>
    <s v="Clean"/>
  </r>
  <r>
    <s v="ORD-2024-10760"/>
    <d v="2024-07-19T00:00:00"/>
    <d v="2024-07-26T00:00:00"/>
    <n v="7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s v="Paid"/>
    <x v="0"/>
    <n v="0.25"/>
    <n v="14947.537500000002"/>
    <n v="5509.0775000000031"/>
    <n v="0.36856087499362367"/>
    <x v="0"/>
    <x v="0"/>
    <s v="Clean"/>
  </r>
  <r>
    <s v="ORD-2024-10761"/>
    <d v="2024-08-28T00:00:00"/>
    <d v="2024-09-02T00:00:00"/>
    <n v="5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s v="Pending"/>
    <x v="2"/>
    <n v="0"/>
    <n v="13462.12"/>
    <n v="5861.4900000000007"/>
    <n v="0.43540616188237813"/>
    <x v="1"/>
    <x v="0"/>
    <s v="Clean"/>
  </r>
  <r>
    <s v="ORD-2025-10762"/>
    <d v="2025-08-27T00:00:00"/>
    <d v="2025-08-31T00:00:00"/>
    <n v="4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s v="Paid"/>
    <x v="0"/>
    <n v="0"/>
    <n v="7467.36"/>
    <n v="2456.75"/>
    <n v="0.32899846799940008"/>
    <x v="1"/>
    <x v="1"/>
    <s v="Clean"/>
  </r>
  <r>
    <s v="ORD-2024-10763"/>
    <d v="2024-01-01T00:00:00"/>
    <d v="2024-01-05T00:00:00"/>
    <n v="4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x v="2"/>
    <n v="0.2"/>
    <n v="5910.5920000000006"/>
    <n v="1135.152000000001"/>
    <n v="0.19205385856442145"/>
    <x v="9"/>
    <x v="0"/>
    <s v="Clean"/>
  </r>
  <r>
    <s v="ORD-2025-10764"/>
    <d v="2025-08-23T00:00:00"/>
    <d v="2025-08-25T00:00:00"/>
    <n v="2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s v="Paid"/>
    <x v="0"/>
    <n v="0"/>
    <n v="16454.88"/>
    <n v="4373.34"/>
    <n v="0.26577769026574488"/>
    <x v="1"/>
    <x v="1"/>
    <s v="Clean"/>
  </r>
  <r>
    <s v="ORD-2025-10765"/>
    <d v="2025-04-13T00:00:00"/>
    <d v="2025-04-13T00:00:00"/>
    <n v="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s v="Paid"/>
    <x v="0"/>
    <n v="0.05"/>
    <n v="25159.8"/>
    <n v="3552.9699999999975"/>
    <n v="0.14121614639226057"/>
    <x v="5"/>
    <x v="1"/>
    <s v="Clean"/>
  </r>
  <r>
    <s v="ORD-2025-10766"/>
    <d v="2025-06-29T00:00:00"/>
    <d v="2025-07-03T00:00:00"/>
    <n v="4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s v="Paid"/>
    <x v="0"/>
    <n v="0"/>
    <n v="1824.42"/>
    <n v="609.55000000000018"/>
    <n v="0.33410618169061956"/>
    <x v="2"/>
    <x v="1"/>
    <s v="Clean"/>
  </r>
  <r>
    <s v="ORD-2024-10767"/>
    <d v="2024-09-17T00:00:00"/>
    <d v="2024-09-24T00:00:00"/>
    <n v="7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s v="Paid"/>
    <x v="1"/>
    <n v="0.2"/>
    <n v="16617.312000000002"/>
    <n v="7421.5820000000022"/>
    <n v="0.44661747940942564"/>
    <x v="11"/>
    <x v="0"/>
    <s v="Clean"/>
  </r>
  <r>
    <s v="ORD-2024-10768"/>
    <d v="2024-05-03T00:00:00"/>
    <d v="2024-05-06T00:00:00"/>
    <n v="3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s v="Paid"/>
    <x v="0"/>
    <n v="0.25"/>
    <n v="933.43499999999995"/>
    <n v="350.34499999999991"/>
    <n v="0.3753287588316272"/>
    <x v="4"/>
    <x v="0"/>
    <s v="Clean"/>
  </r>
  <r>
    <s v="ORD-2025-10769"/>
    <d v="2025-04-02T00:00:00"/>
    <d v="2025-04-04T00:00:00"/>
    <n v="2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s v="Paid"/>
    <x v="0"/>
    <n v="0.1"/>
    <n v="14554.08"/>
    <n v="3387.24"/>
    <n v="0.23273473830018798"/>
    <x v="5"/>
    <x v="1"/>
    <s v="Clean"/>
  </r>
  <r>
    <s v="ORD-2024-10770"/>
    <d v="2024-05-11T00:00:00"/>
    <d v="2024-05-13T00:00:00"/>
    <n v="2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s v="Paid"/>
    <x v="0"/>
    <n v="0.25"/>
    <n v="8128.6875"/>
    <n v="3057.0275000000001"/>
    <n v="0.3760788565189645"/>
    <x v="4"/>
    <x v="0"/>
    <s v="Clean"/>
  </r>
  <r>
    <s v="ORD-2024-10771"/>
    <d v="2024-02-15T00:00:00"/>
    <d v="2024-02-17T00:00:00"/>
    <n v="2"/>
    <s v="CUST-8384"/>
    <s v="Neha Gupta"/>
    <x v="0"/>
    <x v="0"/>
    <s v="Uttar Pradesh"/>
    <s v="Noida"/>
    <x v="2"/>
    <x v="6"/>
    <s v="Eco Copiers 396"/>
    <x v="2"/>
    <n v="4"/>
    <n v="863"/>
    <n v="0"/>
    <n v="3106.8"/>
    <n v="2376.62"/>
    <n v="730.18"/>
    <s v="Paid"/>
    <x v="0"/>
    <n v="0"/>
    <n v="3452"/>
    <n v="1075.3800000000001"/>
    <n v="0.3115237543453071"/>
    <x v="6"/>
    <x v="0"/>
    <s v="Clean"/>
  </r>
  <r>
    <s v="ORD-2024-10772"/>
    <d v="2024-07-12T00:00:00"/>
    <d v="2024-07-14T00:00:00"/>
    <n v="2"/>
    <s v="CUST-7861"/>
    <s v="Ananya Rao"/>
    <x v="0"/>
    <x v="0"/>
    <s v="Haryana"/>
    <s v="Gurugram"/>
    <x v="2"/>
    <x v="12"/>
    <s v="Basic Machines 401"/>
    <x v="0"/>
    <n v="4"/>
    <n v="2131.41"/>
    <n v="0"/>
    <n v="6394.23"/>
    <n v="3520.69"/>
    <n v="2873.54"/>
    <s v="Paid"/>
    <x v="0"/>
    <n v="0"/>
    <n v="8525.64"/>
    <n v="5004.9499999999989"/>
    <n v="0.58704683753946907"/>
    <x v="0"/>
    <x v="0"/>
    <s v="Clean"/>
  </r>
  <r>
    <s v="ORD-2025-10773"/>
    <d v="2025-07-15T00:00:00"/>
    <d v="2025-07-19T00:00:00"/>
    <n v="4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s v="Pending"/>
    <x v="1"/>
    <n v="0.05"/>
    <n v="3708.0589999999997"/>
    <n v="947.76899999999978"/>
    <n v="0.25559706574248142"/>
    <x v="0"/>
    <x v="1"/>
    <s v="Clean"/>
  </r>
  <r>
    <s v="ORD-2025-10774"/>
    <d v="2025-02-21T00:00:00"/>
    <d v="2025-02-21T00:00:00"/>
    <n v="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s v="Paid"/>
    <x v="0"/>
    <n v="0.2"/>
    <n v="9424.2240000000002"/>
    <n v="3245.3040000000001"/>
    <n v="0.3443576892909167"/>
    <x v="6"/>
    <x v="1"/>
    <s v="Clean"/>
  </r>
  <r>
    <s v="ORD-2025-10775"/>
    <d v="2025-07-08T00:00:00"/>
    <d v="2025-08-07T00:00:00"/>
    <n v="3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s v="Paid"/>
    <x v="0"/>
    <n v="0.2"/>
    <n v="7752.6"/>
    <n v="3063.3"/>
    <n v="0.39513195573098059"/>
    <x v="0"/>
    <x v="1"/>
    <s v="Clean"/>
  </r>
  <r>
    <s v="ORD-2024-10776"/>
    <d v="2024-04-14T00:00:00"/>
    <d v="2024-04-22T00:00:00"/>
    <n v="8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s v="Paid"/>
    <x v="0"/>
    <n v="0.25"/>
    <n v="23736.720000000001"/>
    <n v="9845.8200000000015"/>
    <n v="0.41479277676106896"/>
    <x v="5"/>
    <x v="0"/>
    <s v="Clean"/>
  </r>
  <r>
    <s v="ORD-2025-10777"/>
    <d v="2025-08-06T00:00:00"/>
    <d v="2025-06-13T00:00:00"/>
    <n v="-54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s v="Paid"/>
    <x v="0"/>
    <n v="0"/>
    <n v="26999.91"/>
    <n v="9183.93"/>
    <n v="0.34014668937785347"/>
    <x v="1"/>
    <x v="1"/>
    <s v="Warning"/>
  </r>
  <r>
    <s v="ORD-2024-10778"/>
    <d v="2024-04-02T00:00:00"/>
    <d v="2024-02-06T00:00:00"/>
    <n v="-56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s v="Failed"/>
    <x v="1"/>
    <n v="0.15"/>
    <n v="5065.116"/>
    <n v="1534.9960000000001"/>
    <n v="0.30305248685321323"/>
    <x v="5"/>
    <x v="0"/>
    <s v="Warning"/>
  </r>
  <r>
    <s v="ORD-2024-10779"/>
    <d v="2024-07-24T00:00:00"/>
    <d v="2024-07-24T00:00:00"/>
    <n v="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s v="Paid"/>
    <x v="0"/>
    <n v="0"/>
    <n v="6707.52"/>
    <n v="1034.9500000000007"/>
    <n v="0.15429696817899918"/>
    <x v="0"/>
    <x v="0"/>
    <s v="Clean"/>
  </r>
  <r>
    <s v="ORD-2024-10780"/>
    <d v="2024-01-15T00:00:00"/>
    <d v="2024-01-20T00:00:0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s v="Paid"/>
    <x v="0"/>
    <n v="0.05"/>
    <n v="11983.451999999999"/>
    <n v="3410.5519999999997"/>
    <n v="0.2846051371507976"/>
    <x v="9"/>
    <x v="0"/>
    <s v="Clean"/>
  </r>
  <r>
    <s v="ORD-2024-10781"/>
    <d v="2024-08-04T00:00:00"/>
    <d v="2024-08-10T00:00:00"/>
    <n v="6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s v="Paid"/>
    <x v="0"/>
    <n v="0.2"/>
    <n v="1364.576"/>
    <n v="386.41600000000005"/>
    <n v="0.28317660577351506"/>
    <x v="1"/>
    <x v="0"/>
    <s v="Clean"/>
  </r>
  <r>
    <s v="ORD-2024-10782"/>
    <d v="2024-02-02T00:00:00"/>
    <d v="2024-02-10T00:00:00"/>
    <n v="8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s v="Pending"/>
    <x v="2"/>
    <n v="0.25"/>
    <n v="862.64999999999986"/>
    <n v="258.91999999999985"/>
    <n v="0.30014490233582553"/>
    <x v="6"/>
    <x v="0"/>
    <s v="Clean"/>
  </r>
  <r>
    <s v="ORD-2025-10783"/>
    <d v="2025-03-14T00:00:00"/>
    <d v="2025-03-22T00:00:00"/>
    <n v="8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s v="Paid"/>
    <x v="0"/>
    <n v="0.15"/>
    <n v="1138.3709999999999"/>
    <n v="341.03099999999984"/>
    <n v="0.29957808131092578"/>
    <x v="10"/>
    <x v="1"/>
    <s v="Clean"/>
  </r>
  <r>
    <s v="ORD-2024-10784"/>
    <d v="2024-06-07T00:00:00"/>
    <d v="2024-06-07T00:00:00"/>
    <n v="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s v="Paid"/>
    <x v="0"/>
    <n v="0.05"/>
    <n v="2452.8334999999997"/>
    <n v="546.13349999999969"/>
    <n v="0.22265412634000625"/>
    <x v="2"/>
    <x v="0"/>
    <s v="Clean"/>
  </r>
  <r>
    <s v="ORD-2025-10785"/>
    <d v="2025-10-04T00:00:00"/>
    <d v="2025-10-05T00:00:00"/>
    <n v="1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s v="Paid"/>
    <x v="0"/>
    <n v="0.05"/>
    <n v="1589.0840000000001"/>
    <n v="504.42399999999998"/>
    <n v="0.31743067075120002"/>
    <x v="8"/>
    <x v="1"/>
    <s v="Clean"/>
  </r>
  <r>
    <s v="ORD-2024-10786"/>
    <d v="2024-05-23T00:00:00"/>
    <d v="2024-05-29T00:00:00"/>
    <n v="6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s v="Failed"/>
    <x v="1"/>
    <n v="0.25"/>
    <n v="4519.41"/>
    <n v="1015.25"/>
    <n v="0.22464215461752751"/>
    <x v="4"/>
    <x v="0"/>
    <s v="Clean"/>
  </r>
  <r>
    <s v="ORD-2025-10787"/>
    <d v="2025-07-06T00:00:00"/>
    <d v="2025-07-08T00:00:00"/>
    <n v="2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s v="Refunded"/>
    <x v="2"/>
    <n v="0.05"/>
    <n v="2718.71"/>
    <n v="653.65999999999985"/>
    <n v="0.24043020403058799"/>
    <x v="0"/>
    <x v="1"/>
    <s v="Clean"/>
  </r>
  <r>
    <s v="ORD-2024-10788"/>
    <d v="2024-09-12T00:00:00"/>
    <d v="2024-09-18T00:00:00"/>
    <n v="6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s v="Paid"/>
    <x v="0"/>
    <n v="0.05"/>
    <n v="7065.6629999999996"/>
    <n v="2150.3929999999991"/>
    <n v="0.30434412170521002"/>
    <x v="11"/>
    <x v="0"/>
    <s v="Clean"/>
  </r>
  <r>
    <s v="ORD-2024-10789"/>
    <d v="2024-08-01T00:00:00"/>
    <d v="2024-02-08T00:00:00"/>
    <n v="-175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s v="Failed"/>
    <x v="2"/>
    <n v="0.1"/>
    <n v="17911.007999999998"/>
    <n v="6364.9579999999987"/>
    <n v="0.35536570582738836"/>
    <x v="1"/>
    <x v="0"/>
    <s v="Warning"/>
  </r>
  <r>
    <s v="ORD-2025-10790"/>
    <d v="2025-03-07T00:00:00"/>
    <d v="2025-03-08T00:00:00"/>
    <n v="1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s v="Paid"/>
    <x v="0"/>
    <n v="0"/>
    <n v="14149.92"/>
    <n v="4683.41"/>
    <n v="0.33098491016203624"/>
    <x v="10"/>
    <x v="1"/>
    <s v="Clean"/>
  </r>
  <r>
    <s v="ORD-2024-10791"/>
    <d v="2024-05-31T00:00:00"/>
    <d v="2024-06-02T00:00:00"/>
    <n v="2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s v="Paid"/>
    <x v="0"/>
    <n v="0.2"/>
    <n v="4272.576"/>
    <n v="943.65599999999995"/>
    <n v="0.22086347908147214"/>
    <x v="4"/>
    <x v="0"/>
    <s v="Clean"/>
  </r>
  <r>
    <s v="ORD-2024-10792"/>
    <d v="2024-10-02T00:00:00"/>
    <d v="2024-10-06T00:00:00"/>
    <n v="4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s v="Paid"/>
    <x v="0"/>
    <n v="0.25"/>
    <n v="9352.619999999999"/>
    <n v="4083.2099999999991"/>
    <n v="0.43658461479243243"/>
    <x v="8"/>
    <x v="0"/>
    <s v="Clean"/>
  </r>
  <r>
    <s v="ORD-2025-10793"/>
    <d v="2025-06-04T00:00:00"/>
    <d v="2025-06-08T00:00:00"/>
    <n v="4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s v="Paid"/>
    <x v="2"/>
    <n v="0.2"/>
    <n v="2800.8960000000002"/>
    <n v="1064.9160000000002"/>
    <n v="0.38020547710446945"/>
    <x v="2"/>
    <x v="1"/>
    <s v="Clean"/>
  </r>
  <r>
    <s v="ORD-2024-10794"/>
    <d v="2024-05-28T00:00:00"/>
    <d v="2024-06-03T00:00:00"/>
    <n v="6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s v="Paid"/>
    <x v="0"/>
    <n v="0"/>
    <n v="21511.599999999999"/>
    <n v="6103.1299999999992"/>
    <n v="0.28371343833094703"/>
    <x v="4"/>
    <x v="0"/>
    <s v="Clean"/>
  </r>
  <r>
    <s v="ORD-2025-10795"/>
    <d v="2025-06-22T00:00:00"/>
    <d v="2025-06-24T00:00:00"/>
    <n v="2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x v="0"/>
    <n v="0.15"/>
    <n v="7279.3574999999992"/>
    <n v="2408.9674999999988"/>
    <n v="0.33093133562955235"/>
    <x v="2"/>
    <x v="1"/>
    <s v="Clean"/>
  </r>
  <r>
    <s v="ORD-2024-10796"/>
    <d v="2024-07-30T00:00:00"/>
    <d v="2024-07-30T00:00:00"/>
    <n v="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s v="Refunded"/>
    <x v="1"/>
    <n v="0"/>
    <n v="26051.94"/>
    <n v="9168.3499999999985"/>
    <n v="0.3519258066769691"/>
    <x v="0"/>
    <x v="0"/>
    <s v="Clean"/>
  </r>
  <r>
    <s v="ORD-2024-10797"/>
    <d v="2024-03-23T00:00:00"/>
    <d v="2024-03-30T00:00:0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s v="Paid"/>
    <x v="0"/>
    <n v="0.15"/>
    <n v="9661.6439999999984"/>
    <n v="3357.873999999998"/>
    <n v="0.34754685641491223"/>
    <x v="10"/>
    <x v="0"/>
    <s v="Clean"/>
  </r>
  <r>
    <s v="ORD-2024-10798"/>
    <d v="2024-04-18T00:00:00"/>
    <d v="2024-04-22T00:00:00"/>
    <n v="4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s v="Failed"/>
    <x v="1"/>
    <n v="0"/>
    <n v="13714.96"/>
    <n v="3164.49"/>
    <n v="0.23073271814135804"/>
    <x v="5"/>
    <x v="0"/>
    <s v="Clean"/>
  </r>
  <r>
    <s v="ORD-2025-10799"/>
    <d v="2025-07-11T00:00:00"/>
    <d v="2025-09-07T00:00:00"/>
    <n v="58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s v="Paid"/>
    <x v="0"/>
    <n v="0"/>
    <n v="15354.449999999999"/>
    <n v="5697.9499999999989"/>
    <n v="0.37109437329243311"/>
    <x v="0"/>
    <x v="1"/>
    <s v="Clean"/>
  </r>
  <r>
    <s v="ORD-2024-10800"/>
    <d v="2024-10-10T00:00:00"/>
    <d v="2024-10-17T00:00:00"/>
    <n v="7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s v="Paid"/>
    <x v="2"/>
    <n v="0.05"/>
    <n v="4595.1975000000002"/>
    <n v="707.78750000000036"/>
    <n v="0.15402765604742785"/>
    <x v="8"/>
    <x v="0"/>
    <s v="Clean"/>
  </r>
  <r>
    <s v="ORD-2024-10801"/>
    <d v="2024-03-01T00:00:00"/>
    <d v="2024-03-07T00:00:00"/>
    <n v="6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s v="Paid"/>
    <x v="0"/>
    <n v="0.15"/>
    <n v="21234.971999999998"/>
    <n v="4498.8819999999978"/>
    <n v="0.21186192286950029"/>
    <x v="10"/>
    <x v="0"/>
    <s v="Clean"/>
  </r>
  <r>
    <s v="ORD-2025-10802"/>
    <d v="2025-10-08T00:00:00"/>
    <d v="2025-10-15T00:00:00"/>
    <n v="7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s v="Pending"/>
    <x v="1"/>
    <n v="0.2"/>
    <n v="8093.304000000001"/>
    <n v="2040.8740000000007"/>
    <n v="0.25216821214179036"/>
    <x v="8"/>
    <x v="1"/>
    <s v="Clean"/>
  </r>
  <r>
    <s v="ORD-2025-10803"/>
    <d v="2025-02-16T00:00:00"/>
    <d v="2025-02-16T00:00:00"/>
    <n v="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s v="Failed"/>
    <x v="2"/>
    <n v="0"/>
    <n v="8651.4600000000009"/>
    <n v="3396.8400000000011"/>
    <n v="0.39263199506210522"/>
    <x v="6"/>
    <x v="1"/>
    <s v="Clean"/>
  </r>
  <r>
    <s v="ORD-2024-10804"/>
    <d v="2024-12-09T00:00:00"/>
    <d v="2024-12-13T00:00:00"/>
    <n v="4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x v="0"/>
    <n v="0"/>
    <n v="4306.6499999999996"/>
    <n v="1737.8299999999995"/>
    <n v="0.40352245945224235"/>
    <x v="7"/>
    <x v="0"/>
    <s v="Clean"/>
  </r>
  <r>
    <s v="ORD-2025-10805"/>
    <d v="2025-10-09T00:00:00"/>
    <d v="2025-09-18T00:00:00"/>
    <n v="-21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s v="Paid"/>
    <x v="0"/>
    <n v="0.05"/>
    <n v="1948.0889999999997"/>
    <n v="441.00899999999979"/>
    <n v="0.22638031424642296"/>
    <x v="8"/>
    <x v="1"/>
    <s v="Warning"/>
  </r>
  <r>
    <s v="ORD-2025-10806"/>
    <d v="2025-04-06T00:00:00"/>
    <d v="2025-07-04T00:00:00"/>
    <n v="89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s v="Paid"/>
    <x v="0"/>
    <n v="0.25"/>
    <n v="3045.09"/>
    <n v="444"/>
    <n v="0.14580849827098705"/>
    <x v="5"/>
    <x v="1"/>
    <s v="Clean"/>
  </r>
  <r>
    <s v="ORD-2024-10807"/>
    <d v="2024-09-11T00:00:00"/>
    <d v="2024-11-15T00:00:00"/>
    <n v="65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s v="Failed"/>
    <x v="1"/>
    <n v="0.2"/>
    <n v="2932.7759999999998"/>
    <n v="1032.4259999999999"/>
    <n v="0.35203029484692999"/>
    <x v="11"/>
    <x v="0"/>
    <s v="Clean"/>
  </r>
  <r>
    <s v="ORD-2025-10808"/>
    <d v="2025-02-07T00:00:00"/>
    <d v="2025-02-08T00:00:00"/>
    <n v="1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s v="Paid"/>
    <x v="0"/>
    <n v="0.1"/>
    <n v="4379.3640000000005"/>
    <n v="655.43400000000065"/>
    <n v="0.14966419781502532"/>
    <x v="6"/>
    <x v="1"/>
    <s v="Clean"/>
  </r>
  <r>
    <s v="ORD-2025-10809"/>
    <d v="2025-08-31T00:00:00"/>
    <d v="2025-08-28T00:00:00"/>
    <n v="-3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s v="Paid"/>
    <x v="0"/>
    <n v="0.2"/>
    <n v="5472.768"/>
    <n v="995.4380000000001"/>
    <n v="0.18188931085695575"/>
    <x v="1"/>
    <x v="1"/>
    <s v="Warning"/>
  </r>
  <r>
    <s v="ORD-2025-10810"/>
    <d v="2025-06-25T00:00:00"/>
    <d v="2025-06-25T00:00:00"/>
    <n v="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s v="Paid"/>
    <x v="0"/>
    <n v="0.1"/>
    <n v="7377.1020000000008"/>
    <n v="2291.8920000000007"/>
    <n v="0.31067646888981615"/>
    <x v="2"/>
    <x v="1"/>
    <s v="Clean"/>
  </r>
  <r>
    <s v="ORD-2024-10811"/>
    <d v="2024-04-03T00:00:00"/>
    <d v="2024-08-04T00:00:00"/>
    <n v="123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s v="Paid"/>
    <x v="0"/>
    <n v="0.25"/>
    <n v="2363.8874999999998"/>
    <n v="892.37749999999983"/>
    <n v="0.37750421710000998"/>
    <x v="5"/>
    <x v="0"/>
    <s v="Clean"/>
  </r>
  <r>
    <s v="ORD-2024-10812"/>
    <d v="2024-12-12T00:00:00"/>
    <d v="2024-12-19T00:00:00"/>
    <n v="7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s v="Paid"/>
    <x v="0"/>
    <n v="0.2"/>
    <n v="2577.2000000000003"/>
    <n v="1101.3300000000004"/>
    <n v="0.42733586838429316"/>
    <x v="7"/>
    <x v="0"/>
    <s v="Clean"/>
  </r>
  <r>
    <s v="ORD-2024-10813"/>
    <d v="2024-06-15T00:00:00"/>
    <d v="2024-06-20T00:00:0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x v="0"/>
    <n v="0"/>
    <n v="17827.759999999998"/>
    <n v="3705.6299999999992"/>
    <n v="0.20785729671029896"/>
    <x v="2"/>
    <x v="0"/>
    <s v="Clean"/>
  </r>
  <r>
    <s v="ORD-2025-10814"/>
    <d v="2025-04-06T00:00:00"/>
    <d v="2025-04-10T00:00:00"/>
    <n v="4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s v="Paid"/>
    <x v="0"/>
    <n v="0"/>
    <n v="2675.34"/>
    <n v="1079.4700000000003"/>
    <n v="0.40348890234512258"/>
    <x v="5"/>
    <x v="1"/>
    <s v="Clean"/>
  </r>
  <r>
    <s v="ORD-2025-10815"/>
    <d v="2025-08-06T00:00:00"/>
    <d v="2025-08-11T00:00:00"/>
    <n v="5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s v="Paid"/>
    <x v="0"/>
    <n v="0.25"/>
    <n v="3563.91"/>
    <n v="924.21"/>
    <n v="0.25932473042248544"/>
    <x v="1"/>
    <x v="1"/>
    <s v="Clean"/>
  </r>
  <r>
    <s v="ORD-2024-10816"/>
    <d v="2024-04-01T00:00:00"/>
    <d v="2024-04-08T00:00:00"/>
    <n v="7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s v="Pending"/>
    <x v="1"/>
    <n v="0.15"/>
    <n v="4259.0694999999996"/>
    <n v="1128.7494999999994"/>
    <n v="0.26502255950507486"/>
    <x v="5"/>
    <x v="0"/>
    <s v="Clean"/>
  </r>
  <r>
    <s v="ORD-2024-10817"/>
    <d v="2024-11-27T00:00:00"/>
    <d v="2024-11-30T00:00:00"/>
    <n v="3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s v="Paid"/>
    <x v="0"/>
    <n v="0.1"/>
    <n v="786.87"/>
    <n v="288.37"/>
    <n v="0.36647730883119195"/>
    <x v="3"/>
    <x v="0"/>
    <s v="Clean"/>
  </r>
  <r>
    <s v="ORD-2025-10818"/>
    <d v="2025-04-05T00:00:00"/>
    <d v="2025-04-05T00:00:00"/>
    <n v="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s v="Paid"/>
    <x v="0"/>
    <n v="0.25"/>
    <n v="8233.6049999999996"/>
    <n v="3519.8149999999996"/>
    <n v="0.42749378917254349"/>
    <x v="5"/>
    <x v="1"/>
    <s v="Clean"/>
  </r>
  <r>
    <s v="ORD-2024-10819"/>
    <d v="2024-09-29T00:00:00"/>
    <d v="2024-05-10T00:00:00"/>
    <n v="-142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x v="0"/>
    <n v="-0.14000000000000001"/>
    <n v="18067.084800000001"/>
    <n v="7978.4348000000009"/>
    <n v="0.44160056192352631"/>
    <x v="11"/>
    <x v="0"/>
    <s v="Invalid"/>
  </r>
  <r>
    <s v="ORD-2024-10820"/>
    <d v="2024-07-31T00:00:00"/>
    <d v="2024-07-31T00:00:00"/>
    <n v="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s v="Failed"/>
    <x v="1"/>
    <n v="0"/>
    <n v="33968.080000000002"/>
    <n v="7065.6400000000031"/>
    <n v="0.20800822419165294"/>
    <x v="0"/>
    <x v="0"/>
    <s v="Clean"/>
  </r>
  <r>
    <s v="ORD-2025-10821"/>
    <d v="2025-06-02T00:00:00"/>
    <d v="2025-10-02T00:00:00"/>
    <n v="122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s v="Paid"/>
    <x v="0"/>
    <n v="0.2"/>
    <n v="511.31200000000001"/>
    <n v="74.882000000000005"/>
    <n v="0.14645069937728825"/>
    <x v="2"/>
    <x v="1"/>
    <s v="Clean"/>
  </r>
  <r>
    <s v="ORD-2024-10822"/>
    <d v="2024-07-03T00:00:00"/>
    <d v="2024-06-07T00:00:00"/>
    <n v="-26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s v="Paid"/>
    <x v="0"/>
    <n v="0.2"/>
    <n v="10877.944000000001"/>
    <n v="1767.8040000000019"/>
    <n v="0.16251269541376584"/>
    <x v="0"/>
    <x v="0"/>
    <s v="Warning"/>
  </r>
  <r>
    <s v="ORD-2024-10823"/>
    <d v="2024-10-12T00:00:00"/>
    <d v="2024-10-08T00:00:00"/>
    <n v="-4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s v="Pending"/>
    <x v="2"/>
    <n v="0.2"/>
    <n v="10246.528"/>
    <n v="1612.1080000000002"/>
    <n v="0.15733212264681268"/>
    <x v="8"/>
    <x v="0"/>
    <s v="Warning"/>
  </r>
  <r>
    <s v="ORD-2025-10824"/>
    <d v="2025-01-06T00:00:00"/>
    <d v="2025-01-12T00:00:00"/>
    <n v="6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s v="Paid"/>
    <x v="0"/>
    <n v="0.15"/>
    <n v="1704.2415000000001"/>
    <n v="746.69150000000013"/>
    <n v="0.43813714194848563"/>
    <x v="9"/>
    <x v="1"/>
    <s v="Clean"/>
  </r>
  <r>
    <s v="ORD-2025-10825"/>
    <d v="2025-03-21T00:00:00"/>
    <d v="2025-03-22T00:00:00"/>
    <n v="1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s v="Paid"/>
    <x v="0"/>
    <n v="0.05"/>
    <n v="33719.223999999995"/>
    <n v="4794.7939999999944"/>
    <n v="0.14219763776295669"/>
    <x v="10"/>
    <x v="1"/>
    <s v="Clean"/>
  </r>
  <r>
    <s v="ORD-2025-10826"/>
    <d v="2025-04-16T00:00:00"/>
    <d v="2025-04-17T00:00:00"/>
    <n v="1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s v="Paid"/>
    <x v="0"/>
    <n v="0"/>
    <n v="2720.17"/>
    <n v="885.94"/>
    <n v="0.3256928794891496"/>
    <x v="5"/>
    <x v="1"/>
    <s v="Clean"/>
  </r>
  <r>
    <s v="ORD-2025-10827"/>
    <d v="2025-08-10T00:00:00"/>
    <d v="2025-08-14T00:00:00"/>
    <n v="4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s v="Paid"/>
    <x v="0"/>
    <n v="0.25"/>
    <n v="8213.0249999999996"/>
    <n v="2643.7249999999995"/>
    <n v="0.32189418636860345"/>
    <x v="1"/>
    <x v="1"/>
    <s v="Clean"/>
  </r>
  <r>
    <s v="ORD-2024-10828"/>
    <d v="2024-11-24T00:00:00"/>
    <d v="2024-01-12T00:00:00"/>
    <n v="-317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s v="Paid"/>
    <x v="1"/>
    <n v="0.25"/>
    <n v="633.66750000000002"/>
    <n v="113.19749999999999"/>
    <n v="0.17863863934950111"/>
    <x v="3"/>
    <x v="0"/>
    <s v="Warning"/>
  </r>
  <r>
    <s v="ORD-2025-10829"/>
    <d v="2025-10-10T00:00:00"/>
    <d v="2025-11-10T00:00:00"/>
    <n v="31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s v="Failed"/>
    <x v="1"/>
    <n v="0.05"/>
    <n v="25216.534"/>
    <n v="10999.593999999999"/>
    <n v="0.4362056260388521"/>
    <x v="8"/>
    <x v="1"/>
    <s v="Clean"/>
  </r>
  <r>
    <s v="ORD-2024-10830"/>
    <d v="2024-02-26T00:00:00"/>
    <d v="2024-02-28T00:00:00"/>
    <n v="2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x v="0"/>
    <n v="0.1"/>
    <n v="6521.3820000000005"/>
    <n v="2010.2820000000002"/>
    <n v="0.30826012032418892"/>
    <x v="6"/>
    <x v="0"/>
    <s v="Clean"/>
  </r>
  <r>
    <s v="ORD-2025-10831"/>
    <d v="2025-07-15T00:00:00"/>
    <d v="2025-07-18T00:00:00"/>
    <n v="3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s v="Paid"/>
    <x v="0"/>
    <n v="0.1"/>
    <n v="12867.552000000001"/>
    <n v="2798.612000000001"/>
    <n v="0.21749373929089236"/>
    <x v="0"/>
    <x v="1"/>
    <s v="Clean"/>
  </r>
  <r>
    <s v="ORD-2025-10832"/>
    <d v="2025-04-03T00:00:00"/>
    <d v="2025-03-04T00:00:00"/>
    <n v="-3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s v="Failed"/>
    <x v="2"/>
    <n v="0.15"/>
    <n v="26489.654999999999"/>
    <n v="10671.195"/>
    <n v="0.40284386489744772"/>
    <x v="5"/>
    <x v="1"/>
    <s v="Warning"/>
  </r>
  <r>
    <s v="ORD-2025-10833"/>
    <d v="2025-05-26T00:00:00"/>
    <d v="2025-05-28T00:00:00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x v="0"/>
    <n v="0.05"/>
    <n v="36782.271000000008"/>
    <n v="10879.461000000007"/>
    <n v="0.29578002402298664"/>
    <x v="4"/>
    <x v="1"/>
    <s v="Clean"/>
  </r>
  <r>
    <s v="ORD-2024-10834"/>
    <d v="2024-06-04T00:00:00"/>
    <d v="2024-06-04T00:00:00"/>
    <n v="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s v="Paid"/>
    <x v="0"/>
    <n v="0"/>
    <n v="23696.400000000001"/>
    <n v="5586.630000000001"/>
    <n v="0.23575859624246723"/>
    <x v="2"/>
    <x v="0"/>
    <s v="Clean"/>
  </r>
  <r>
    <s v="ORD-2024-10835"/>
    <d v="2024-10-18T00:00:00"/>
    <d v="2024-10-22T00:00:00"/>
    <n v="4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s v="Paid"/>
    <x v="0"/>
    <n v="0"/>
    <n v="4047.66"/>
    <n v="968.73"/>
    <n v="0.23933087265234729"/>
    <x v="8"/>
    <x v="0"/>
    <s v="Clean"/>
  </r>
  <r>
    <s v="ORD-2025-10836"/>
    <d v="2025-09-26T00:00:00"/>
    <d v="2025-04-10T00:00:00"/>
    <n v="-169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s v="Paid"/>
    <x v="0"/>
    <n v="0.05"/>
    <n v="10038.773499999999"/>
    <n v="4365.673499999999"/>
    <n v="0.43488116352062323"/>
    <x v="11"/>
    <x v="1"/>
    <s v="Warning"/>
  </r>
  <r>
    <s v="ORD-2024-10837"/>
    <d v="2024-12-15T00:00:00"/>
    <d v="2024-12-18T00:00:00"/>
    <n v="3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s v="Paid"/>
    <x v="0"/>
    <n v="0"/>
    <n v="1074.22"/>
    <n v="223.36"/>
    <n v="0.20792761259332354"/>
    <x v="7"/>
    <x v="0"/>
    <s v="Clean"/>
  </r>
  <r>
    <s v="ORD-2025-10838"/>
    <d v="2025-09-27T00:00:00"/>
    <d v="2025-09-28T00:00:00"/>
    <n v="1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s v="Paid"/>
    <x v="0"/>
    <n v="0.25"/>
    <n v="9399.6674999999996"/>
    <n v="2859.2974999999997"/>
    <n v="0.30419134506619516"/>
    <x v="11"/>
    <x v="1"/>
    <s v="Clean"/>
  </r>
  <r>
    <s v="ORD-2025-10839"/>
    <d v="2025-04-03T00:00:00"/>
    <d v="2025-04-07T00:00:00"/>
    <n v="4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s v="Paid"/>
    <x v="2"/>
    <n v="0"/>
    <n v="1470.57"/>
    <n v="636.54999999999995"/>
    <n v="0.43285936745615644"/>
    <x v="5"/>
    <x v="1"/>
    <s v="Clean"/>
  </r>
  <r>
    <s v="ORD-2024-10840"/>
    <d v="2024-09-20T00:00:00"/>
    <d v="2024-09-22T00:00:00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s v="Paid"/>
    <x v="0"/>
    <n v="0.1"/>
    <n v="3826.2959999999998"/>
    <n v="1632.1759999999999"/>
    <n v="0.42656814841298218"/>
    <x v="11"/>
    <x v="0"/>
    <s v="Clean"/>
  </r>
  <r>
    <s v="ORD-2025-10841"/>
    <d v="2025-09-19T00:00:00"/>
    <d v="2025-09-19T00:00:00"/>
    <n v="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s v="Paid"/>
    <x v="0"/>
    <n v="0"/>
    <n v="6336.44"/>
    <n v="1655.7599999999993"/>
    <n v="0.26130761121386764"/>
    <x v="11"/>
    <x v="1"/>
    <s v="Clean"/>
  </r>
  <r>
    <s v="ORD-2025-10842"/>
    <d v="2025-02-06T00:00:00"/>
    <d v="2025-02-12T00:00:00"/>
    <n v="6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s v="Paid"/>
    <x v="0"/>
    <n v="0.25"/>
    <n v="21850.829999999998"/>
    <n v="5250.6999999999971"/>
    <n v="0.2402975081495759"/>
    <x v="6"/>
    <x v="1"/>
    <s v="Clean"/>
  </r>
  <r>
    <s v="ORD-2024-10843"/>
    <d v="2024-03-31T00:00:00"/>
    <d v="2024-03-30T00:00:00"/>
    <n v="-1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s v="Paid"/>
    <x v="2"/>
    <n v="0.15"/>
    <n v="7453.0719999999992"/>
    <n v="2319.2919999999995"/>
    <n v="0.31118604516365866"/>
    <x v="10"/>
    <x v="0"/>
    <s v="Warning"/>
  </r>
  <r>
    <s v="ORD-2025-10844"/>
    <d v="2025-07-18T00:00:00"/>
    <d v="2025-07-25T00:00:00"/>
    <n v="7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s v="Paid"/>
    <x v="0"/>
    <n v="-0.02"/>
    <n v="36623.793600000005"/>
    <n v="12707.693600000006"/>
    <n v="0.34697917257812433"/>
    <x v="0"/>
    <x v="1"/>
    <s v="Invalid"/>
  </r>
  <r>
    <s v="ORD-2025-10845"/>
    <d v="2025-01-20T00:00:00"/>
    <d v="2025-01-25T00:00:00"/>
    <n v="5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s v="Paid"/>
    <x v="0"/>
    <n v="0"/>
    <n v="3515.15"/>
    <n v="1298.81"/>
    <n v="0.36948921098672882"/>
    <x v="9"/>
    <x v="1"/>
    <s v="Clean"/>
  </r>
  <r>
    <s v="ORD-2024-10846"/>
    <d v="2024-02-23T00:00:00"/>
    <d v="2024-02-27T00:00:00"/>
    <n v="4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s v="Pending"/>
    <x v="2"/>
    <n v="0.25"/>
    <n v="24409.552499999998"/>
    <n v="7251.9724999999962"/>
    <n v="0.29709567596538267"/>
    <x v="6"/>
    <x v="0"/>
    <s v="Clean"/>
  </r>
  <r>
    <s v="ORD-2024-10847"/>
    <d v="2024-04-14T00:00:00"/>
    <d v="2024-04-22T00:00:00"/>
    <n v="8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s v="Pending"/>
    <x v="2"/>
    <n v="0"/>
    <n v="7955.04"/>
    <n v="2374.3599999999997"/>
    <n v="0.29847241497214339"/>
    <x v="5"/>
    <x v="0"/>
    <s v="Clean"/>
  </r>
  <r>
    <s v="ORD-2025-10848"/>
    <d v="2025-05-20T00:00:00"/>
    <d v="2025-05-22T00:00:00"/>
    <n v="2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s v="Paid"/>
    <x v="0"/>
    <n v="0.2"/>
    <n v="336.12800000000004"/>
    <n v="93.938000000000045"/>
    <n v="0.27947091584158423"/>
    <x v="4"/>
    <x v="1"/>
    <s v="Clean"/>
  </r>
  <r>
    <s v="ORD-2025-10849"/>
    <d v="2025-05-27T00:00:00"/>
    <d v="2025-05-29T00:00:00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s v="Paid"/>
    <x v="0"/>
    <n v="0.25"/>
    <n v="1308.2624999999998"/>
    <n v="224.70249999999987"/>
    <n v="0.17175643267310645"/>
    <x v="4"/>
    <x v="1"/>
    <s v="Clean"/>
  </r>
  <r>
    <s v="ORD-2024-10850"/>
    <d v="2024-03-06T00:00:00"/>
    <d v="2024-12-03T00:00:00"/>
    <n v="272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x v="0"/>
    <n v="0.2"/>
    <n v="1631.1120000000001"/>
    <n v="732.38200000000006"/>
    <n v="0.44900779345624336"/>
    <x v="10"/>
    <x v="0"/>
    <s v="Clean"/>
  </r>
  <r>
    <s v="ORD-2024-10851"/>
    <d v="2024-06-30T00:00:00"/>
    <d v="2024-07-03T00:00:00"/>
    <n v="3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s v="Paid"/>
    <x v="0"/>
    <n v="0"/>
    <n v="7266.0599999999995"/>
    <n v="1049.1699999999992"/>
    <n v="0.14439324750965438"/>
    <x v="2"/>
    <x v="0"/>
    <s v="Clean"/>
  </r>
  <r>
    <s v="ORD-2024-10852"/>
    <d v="2024-03-26T00:00:00"/>
    <d v="2024-04-01T00:00:00"/>
    <n v="6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s v="Paid"/>
    <x v="0"/>
    <n v="0.2"/>
    <n v="1858.08"/>
    <n v="267.32999999999993"/>
    <n v="0.14387432188065097"/>
    <x v="10"/>
    <x v="0"/>
    <s v="Clean"/>
  </r>
  <r>
    <s v="ORD-2024-10853"/>
    <d v="2024-01-04T00:00:00"/>
    <d v="2024-08-04T00:00:00"/>
    <n v="213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s v="Pending"/>
    <x v="1"/>
    <n v="0.15"/>
    <n v="25021.832500000004"/>
    <n v="9477.3925000000036"/>
    <n v="0.37876492459135447"/>
    <x v="9"/>
    <x v="0"/>
    <s v="Clean"/>
  </r>
  <r>
    <s v="ORD-2025-10854"/>
    <d v="2025-05-16T00:00:00"/>
    <d v="2025-05-22T00:00:00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x v="0"/>
    <n v="0.2"/>
    <n v="3710.72"/>
    <n v="595.42999999999984"/>
    <n v="0.16046212055881334"/>
    <x v="4"/>
    <x v="1"/>
    <s v="Clean"/>
  </r>
  <r>
    <s v="ORD-2025-10855"/>
    <d v="2025-03-25T00:00:00"/>
    <d v="2025-04-02T00:00:00"/>
    <n v="8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s v="Paid"/>
    <x v="0"/>
    <n v="0.05"/>
    <n v="8487.8319999999985"/>
    <n v="3242.1119999999983"/>
    <n v="0.38197174496384928"/>
    <x v="10"/>
    <x v="1"/>
    <s v="Clean"/>
  </r>
  <r>
    <s v="ORD-2024-10856"/>
    <d v="2024-07-25T00:00:00"/>
    <d v="2024-08-02T00:00:00"/>
    <n v="8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x v="0"/>
    <n v="0.25"/>
    <n v="3110.2950000000001"/>
    <n v="1009.2649999999999"/>
    <n v="0.32449172827657824"/>
    <x v="0"/>
    <x v="0"/>
    <s v="Clean"/>
  </r>
  <r>
    <s v="ORD-2024-10857"/>
    <d v="2024-06-12T00:00:00"/>
    <d v="2024-06-19T00:00:00"/>
    <n v="7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s v="Failed"/>
    <x v="1"/>
    <n v="-0.16"/>
    <n v="1833.2639999999999"/>
    <n v="866.71399999999994"/>
    <n v="0.47277097024760206"/>
    <x v="2"/>
    <x v="0"/>
    <s v="Invalid"/>
  </r>
  <r>
    <s v="ORD-2024-10858"/>
    <d v="2024-06-04T00:00:00"/>
    <d v="2024-04-06T00:00:00"/>
    <n v="-59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s v="Paid"/>
    <x v="0"/>
    <n v="0.25"/>
    <n v="12190.365"/>
    <n v="2013.375"/>
    <n v="0.16516117441930575"/>
    <x v="2"/>
    <x v="0"/>
    <s v="Warning"/>
  </r>
  <r>
    <s v="ORD-2024-10859"/>
    <d v="2024-05-02T00:00:00"/>
    <d v="2024-05-09T00:00:00"/>
    <n v="7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s v="Paid"/>
    <x v="0"/>
    <n v="0"/>
    <n v="11619.44"/>
    <n v="4435.1200000000008"/>
    <n v="0.3816982574031107"/>
    <x v="4"/>
    <x v="0"/>
    <s v="Clean"/>
  </r>
  <r>
    <s v="ORD-2024-10860"/>
    <d v="2024-10-27T00:00:00"/>
    <d v="2024-11-01T00:00:00"/>
    <n v="5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x v="0"/>
    <n v="0.05"/>
    <n v="25075.439999999995"/>
    <n v="8792.6999999999953"/>
    <n v="0.35064987892535471"/>
    <x v="8"/>
    <x v="0"/>
    <s v="Clean"/>
  </r>
  <r>
    <s v="ORD-2024-10861"/>
    <d v="2024-02-02T00:00:00"/>
    <d v="2024-02-04T00:00:00"/>
    <n v="2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s v="Paid"/>
    <x v="0"/>
    <n v="0.05"/>
    <n v="4177.4539999999997"/>
    <n v="1877.9539999999997"/>
    <n v="0.44954510570313877"/>
    <x v="6"/>
    <x v="0"/>
    <s v="Clean"/>
  </r>
  <r>
    <s v="ORD-2025-10862"/>
    <d v="2025-03-08T00:00:00"/>
    <d v="2025-03-09T00:00:00"/>
    <n v="1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s v="Paid"/>
    <x v="0"/>
    <n v="0.2"/>
    <n v="10898.175999999999"/>
    <n v="4666.7659999999996"/>
    <n v="0.42821532704188298"/>
    <x v="10"/>
    <x v="1"/>
    <s v="Clean"/>
  </r>
  <r>
    <s v="ORD-2025-10863"/>
    <d v="2025-03-26T00:00:00"/>
    <d v="2025-03-31T00:00:00"/>
    <n v="5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s v="Paid"/>
    <x v="1"/>
    <n v="0"/>
    <n v="6975.7000000000007"/>
    <n v="2177.8200000000006"/>
    <n v="0.3122009260719355"/>
    <x v="10"/>
    <x v="1"/>
    <s v="Clean"/>
  </r>
  <r>
    <s v="ORD-2025-10864"/>
    <d v="2025-09-06T00:00:00"/>
    <d v="2025-09-08T00:00:00"/>
    <n v="2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s v="Paid"/>
    <x v="0"/>
    <n v="0"/>
    <n v="8811.69"/>
    <n v="2045.7800000000007"/>
    <n v="0.23216658779416893"/>
    <x v="11"/>
    <x v="1"/>
    <s v="Clean"/>
  </r>
  <r>
    <s v="ORD-2025-10865"/>
    <d v="2025-09-02T00:00:00"/>
    <d v="2025-05-09T00:00:00"/>
    <n v="-116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x v="0"/>
    <n v="0"/>
    <n v="17034.349999999999"/>
    <n v="2402.989999999998"/>
    <n v="0.14106731398615141"/>
    <x v="11"/>
    <x v="1"/>
    <s v="Warning"/>
  </r>
  <r>
    <s v="ORD-2025-10866"/>
    <d v="2025-06-02T00:00:00"/>
    <d v="2025-02-14T00:00:00"/>
    <n v="-108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s v="Paid"/>
    <x v="0"/>
    <n v="0"/>
    <n v="7984.08"/>
    <n v="2326.0299999999997"/>
    <n v="0.29133350367230787"/>
    <x v="2"/>
    <x v="1"/>
    <s v="Warning"/>
  </r>
  <r>
    <s v="ORD-2025-10867"/>
    <d v="2025-02-26T00:00:00"/>
    <d v="2025-03-06T00:00:00"/>
    <n v="8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s v="Pending"/>
    <x v="1"/>
    <n v="0.2"/>
    <n v="21912.263999999999"/>
    <n v="5544.4839999999986"/>
    <n v="0.25303108797885965"/>
    <x v="6"/>
    <x v="1"/>
    <s v="Clean"/>
  </r>
  <r>
    <s v="ORD-2024-10868"/>
    <d v="2024-11-21T00:00:00"/>
    <d v="2024-11-22T00:00:00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s v="Failed"/>
    <x v="1"/>
    <n v="0.25"/>
    <n v="4695.7049999999999"/>
    <n v="824.01499999999987"/>
    <n v="0.17548270174553127"/>
    <x v="3"/>
    <x v="0"/>
    <s v="Clean"/>
  </r>
  <r>
    <s v="ORD-2025-10869"/>
    <d v="2025-11-04T00:00:00"/>
    <d v="2025-04-15T00:00:00"/>
    <n v="-203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s v="Paid"/>
    <x v="0"/>
    <n v="0.05"/>
    <n v="1923.2369999999999"/>
    <n v="829.57699999999977"/>
    <n v="0.43134413491420964"/>
    <x v="3"/>
    <x v="1"/>
    <s v="Warning"/>
  </r>
  <r>
    <s v="ORD-2025-10870"/>
    <d v="2025-03-06T00:00:00"/>
    <d v="2025-07-03T00:00:00"/>
    <n v="119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s v="Paid"/>
    <x v="0"/>
    <n v="0.1"/>
    <n v="4301.91"/>
    <n v="1927.5099999999998"/>
    <n v="0.44805911792668834"/>
    <x v="10"/>
    <x v="1"/>
    <s v="Clean"/>
  </r>
  <r>
    <s v="ORD-2025-10871"/>
    <d v="2025-06-06T00:00:00"/>
    <d v="2025-06-07T00:00:00"/>
    <n v="1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s v="Paid"/>
    <x v="1"/>
    <n v="0.15"/>
    <n v="22436.838"/>
    <n v="4982.1680000000015"/>
    <n v="0.22205303617203109"/>
    <x v="2"/>
    <x v="1"/>
    <s v="Clean"/>
  </r>
  <r>
    <s v="ORD-2024-10872"/>
    <d v="2024-02-20T00:00:00"/>
    <d v="2024-02-22T00:00:00"/>
    <n v="2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s v="Refunded"/>
    <x v="1"/>
    <n v="0"/>
    <n v="19676.07"/>
    <n v="7217.4499999999989"/>
    <n v="0.36681359641432454"/>
    <x v="6"/>
    <x v="0"/>
    <s v="Clean"/>
  </r>
  <r>
    <s v="ORD-2024-10873"/>
    <d v="2024-11-01T00:00:00"/>
    <d v="2024-11-02T00:00:00"/>
    <n v="1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s v="Paid"/>
    <x v="0"/>
    <n v="0.2"/>
    <n v="8848.08"/>
    <n v="3156.5199999999995"/>
    <n v="0.35674632236598219"/>
    <x v="3"/>
    <x v="0"/>
    <s v="Clean"/>
  </r>
  <r>
    <s v="ORD-2025-10874"/>
    <d v="2025-02-01T00:00:00"/>
    <d v="2025-08-02T00:00:00"/>
    <n v="182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s v="Paid"/>
    <x v="0"/>
    <n v="0.1"/>
    <n v="4487.8319999999994"/>
    <n v="1854.0519999999992"/>
    <n v="0.41312865543986482"/>
    <x v="6"/>
    <x v="1"/>
    <s v="Clean"/>
  </r>
  <r>
    <s v="ORD-2025-10875"/>
    <d v="2025-07-15T00:00:00"/>
    <d v="2025-07-16T00:00:00"/>
    <n v="1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s v="Paid"/>
    <x v="0"/>
    <n v="0.05"/>
    <n v="29829.088"/>
    <n v="9118.9079999999994"/>
    <n v="0.30570522303598419"/>
    <x v="0"/>
    <x v="1"/>
    <s v="Clean"/>
  </r>
  <r>
    <s v="ORD-2024-10876"/>
    <d v="2024-08-10T00:00:00"/>
    <d v="2024-08-11T00:00:00"/>
    <n v="1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s v="Paid"/>
    <x v="0"/>
    <n v="0.2"/>
    <n v="21574.672000000002"/>
    <n v="6901.8420000000024"/>
    <n v="0.31990484026825539"/>
    <x v="1"/>
    <x v="0"/>
    <s v="Clean"/>
  </r>
  <r>
    <s v="ORD-2024-10877"/>
    <d v="2024-11-18T00:00:00"/>
    <d v="2024-11-20T00:00:00"/>
    <n v="2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s v="Paid"/>
    <x v="0"/>
    <n v="0"/>
    <n v="22741.32"/>
    <n v="6352.75"/>
    <n v="0.27934834037777928"/>
    <x v="3"/>
    <x v="0"/>
    <s v="Clean"/>
  </r>
  <r>
    <s v="ORD-2025-10878"/>
    <d v="2025-08-26T00:00:00"/>
    <d v="2025-09-03T00:00:00"/>
    <n v="8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s v="Paid"/>
    <x v="0"/>
    <n v="0.1"/>
    <n v="3641.5439999999999"/>
    <n v="951.17399999999998"/>
    <n v="0.26120074342092253"/>
    <x v="1"/>
    <x v="1"/>
    <s v="Clean"/>
  </r>
  <r>
    <s v="ORD-2024-10879"/>
    <d v="2024-01-22T00:00:00"/>
    <d v="2024-01-22T00:00:00"/>
    <n v="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s v="Paid"/>
    <x v="0"/>
    <n v="0.05"/>
    <n v="11834.796"/>
    <n v="2512.4359999999997"/>
    <n v="0.21229229468763125"/>
    <x v="9"/>
    <x v="0"/>
    <s v="Clean"/>
  </r>
  <r>
    <s v="ORD-2025-10880"/>
    <d v="2025-08-27T00:00:00"/>
    <d v="2025-08-28T00:00:00"/>
    <n v="1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s v="Paid"/>
    <x v="0"/>
    <n v="0.15"/>
    <n v="6028.3530000000001"/>
    <n v="1594.723"/>
    <n v="0.26453709661660491"/>
    <x v="1"/>
    <x v="1"/>
    <s v="Clean"/>
  </r>
  <r>
    <s v="ORD-2024-10881"/>
    <d v="2024-08-03T00:00:00"/>
    <d v="2024-03-15T00:00:00"/>
    <n v="-141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s v="Paid"/>
    <x v="0"/>
    <n v="0"/>
    <n v="16173.85"/>
    <n v="2537.5100000000002"/>
    <n v="0.15688967067210344"/>
    <x v="1"/>
    <x v="0"/>
    <s v="Warning"/>
  </r>
  <r>
    <s v="ORD-2024-10882"/>
    <d v="2024-12-01T00:00:00"/>
    <d v="2024-05-12T00:00:00"/>
    <n v="-203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x v="0"/>
    <n v="0.25"/>
    <n v="25155.5625"/>
    <n v="7562.8725000000013"/>
    <n v="0.30064414182747856"/>
    <x v="7"/>
    <x v="0"/>
    <s v="Warning"/>
  </r>
  <r>
    <s v="ORD-2025-10883"/>
    <d v="2025-02-02T00:00:00"/>
    <d v="2025-02-10T00:00:00"/>
    <n v="8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s v="Pending"/>
    <x v="2"/>
    <n v="0"/>
    <n v="7649.8"/>
    <n v="2755.2700000000004"/>
    <n v="0.36017542942299152"/>
    <x v="6"/>
    <x v="1"/>
    <s v="Clean"/>
  </r>
  <r>
    <s v="ORD-2025-10884"/>
    <d v="2025-04-28T00:00:00"/>
    <d v="2025-05-01T00:00:00"/>
    <n v="3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s v="Paid"/>
    <x v="0"/>
    <n v="0"/>
    <n v="1620.87"/>
    <n v="517.26"/>
    <n v="0.31912491439782342"/>
    <x v="5"/>
    <x v="1"/>
    <s v="Clean"/>
  </r>
  <r>
    <s v="ORD-2025-10885"/>
    <d v="2025-01-18T00:00:00"/>
    <d v="2025-01-25T00:00:00"/>
    <n v="7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s v="Paid"/>
    <x v="0"/>
    <n v="0.15"/>
    <n v="3567.518"/>
    <n v="1155.7179999999998"/>
    <n v="0.32395575859743381"/>
    <x v="9"/>
    <x v="1"/>
    <s v="Clean"/>
  </r>
  <r>
    <s v="ORD-2024-10886"/>
    <d v="2024-01-05T00:00:00"/>
    <d v="2024-01-05T00:00:00"/>
    <n v="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s v="Paid"/>
    <x v="0"/>
    <n v="0.25"/>
    <n v="1625.31"/>
    <n v="467.41999999999985"/>
    <n v="0.28758821394072509"/>
    <x v="9"/>
    <x v="0"/>
    <s v="Clean"/>
  </r>
  <r>
    <s v="ORD-2025-10887"/>
    <d v="2025-04-26T00:00:00"/>
    <d v="2025-03-05T00:00:00"/>
    <n v="-52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s v="Paid"/>
    <x v="1"/>
    <n v="0.15"/>
    <n v="23739.904999999999"/>
    <n v="6023.3849999999984"/>
    <n v="0.25372405660427028"/>
    <x v="5"/>
    <x v="1"/>
    <s v="Warning"/>
  </r>
  <r>
    <s v="ORD-2024-10888"/>
    <d v="2024-06-12T00:00:00"/>
    <d v="2024-06-18T00:00:00"/>
    <n v="6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s v="Paid"/>
    <x v="0"/>
    <n v="0"/>
    <n v="16704.52"/>
    <n v="6546.24"/>
    <n v="0.39188435225914897"/>
    <x v="2"/>
    <x v="0"/>
    <s v="Clean"/>
  </r>
  <r>
    <s v="ORD-2025-10889"/>
    <d v="2025-06-08T00:00:00"/>
    <d v="2025-07-08T00:00:00"/>
    <n v="3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s v="Refunded"/>
    <x v="1"/>
    <n v="0.1"/>
    <n v="12685.103999999999"/>
    <n v="1905.5439999999999"/>
    <n v="0.15021902855506741"/>
    <x v="2"/>
    <x v="1"/>
    <s v="Clean"/>
  </r>
  <r>
    <s v="ORD-2025-10890"/>
    <d v="2025-03-10T00:00:00"/>
    <d v="2025-03-11T00:00:00"/>
    <n v="1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s v="Paid"/>
    <x v="2"/>
    <n v="0.25"/>
    <n v="5883.12"/>
    <n v="1235.21"/>
    <n v="0.20995832143488491"/>
    <x v="10"/>
    <x v="1"/>
    <s v="Clean"/>
  </r>
  <r>
    <s v="ORD-2024-10891"/>
    <d v="2024-05-15T00:00:00"/>
    <d v="2024-05-21T00:00:00"/>
    <n v="6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s v="Paid"/>
    <x v="0"/>
    <n v="0.2"/>
    <n v="13965.888000000001"/>
    <n v="2319.768"/>
    <n v="0.16610243473239938"/>
    <x v="4"/>
    <x v="0"/>
    <s v="Clean"/>
  </r>
  <r>
    <s v="ORD-2024-10892"/>
    <d v="2024-10-08T00:00:00"/>
    <d v="2024-09-10T00:00:00"/>
    <n v="-28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x v="1"/>
    <n v="0.1"/>
    <n v="10835.865"/>
    <n v="4415.9449999999997"/>
    <n v="0.40753045557507406"/>
    <x v="8"/>
    <x v="0"/>
    <s v="Warning"/>
  </r>
  <r>
    <s v="ORD-2025-10893"/>
    <d v="2025-04-12T00:00:00"/>
    <d v="2025-04-18T00:00:00"/>
    <n v="6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s v="Paid"/>
    <x v="0"/>
    <n v="0.2"/>
    <n v="581.51200000000006"/>
    <n v="157.65200000000004"/>
    <n v="0.27110704508247468"/>
    <x v="5"/>
    <x v="1"/>
    <s v="Clean"/>
  </r>
  <r>
    <s v="ORD-2024-10894"/>
    <d v="2024-06-06T00:00:00"/>
    <d v="2024-06-08T00:00:00"/>
    <n v="2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x v="2"/>
    <n v="0.05"/>
    <n v="1127.1465000000001"/>
    <n v="281.52650000000006"/>
    <n v="0.24976921810962466"/>
    <x v="2"/>
    <x v="0"/>
    <s v="Clean"/>
  </r>
  <r>
    <s v="ORD-2024-10895"/>
    <d v="2024-02-22T00:00:00"/>
    <d v="2024-02-29T00:00:00"/>
    <n v="7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s v="Paid"/>
    <x v="0"/>
    <n v="0"/>
    <n v="25524.300000000003"/>
    <n v="8812.3700000000026"/>
    <n v="0.34525413037771857"/>
    <x v="6"/>
    <x v="0"/>
    <s v="Clean"/>
  </r>
  <r>
    <s v="ORD-2024-10896"/>
    <d v="2024-11-05T00:00:00"/>
    <d v="2024-11-10T00:00:00"/>
    <n v="5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s v="Pending"/>
    <x v="2"/>
    <n v="0.15"/>
    <n v="2418.0119999999997"/>
    <n v="976.12199999999962"/>
    <n v="0.40368782288921634"/>
    <x v="3"/>
    <x v="0"/>
    <s v="Clean"/>
  </r>
  <r>
    <s v="ORD-2024-10897"/>
    <d v="2024-12-24T00:00:00"/>
    <d v="2024-12-25T00:00:00"/>
    <n v="1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s v="Failed"/>
    <x v="2"/>
    <n v="0.05"/>
    <n v="3508.3784999999998"/>
    <n v="680.31849999999986"/>
    <n v="0.19391251542557336"/>
    <x v="7"/>
    <x v="0"/>
    <s v="Clean"/>
  </r>
  <r>
    <s v="ORD-2025-10898"/>
    <d v="2025-04-29T00:00:00"/>
    <d v="2025-05-03T00:00:00"/>
    <n v="4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s v="Paid"/>
    <x v="0"/>
    <n v="0.05"/>
    <n v="6789.27"/>
    <n v="1162.8400000000001"/>
    <n v="0.17127614603631908"/>
    <x v="5"/>
    <x v="1"/>
    <s v="Clean"/>
  </r>
  <r>
    <s v="ORD-2024-10899"/>
    <d v="2024-06-02T00:00:00"/>
    <d v="2024-06-08T00:00:00"/>
    <n v="6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s v="Paid"/>
    <x v="0"/>
    <n v="0.2"/>
    <n v="4917.4400000000005"/>
    <n v="1070.6700000000005"/>
    <n v="0.21772914361944434"/>
    <x v="2"/>
    <x v="0"/>
    <s v="Clean"/>
  </r>
  <r>
    <s v="ORD-2025-10900"/>
    <d v="2025-05-27T00:00:00"/>
    <d v="2025-06-03T00:00:00"/>
    <n v="7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s v="Failed"/>
    <x v="1"/>
    <n v="0.25"/>
    <n v="3304.05"/>
    <n v="1024.6400000000003"/>
    <n v="0.31011637233092726"/>
    <x v="4"/>
    <x v="1"/>
    <s v="Clean"/>
  </r>
  <r>
    <s v="ORD-2024-10332"/>
    <d v="2024-04-12T00:00:00"/>
    <d v="2024-12-06T00:00:00"/>
    <n v="238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s v="Paid"/>
    <x v="0"/>
    <n v="0"/>
    <n v="10742.64"/>
    <n v="4265.2699999999995"/>
    <n v="0.39704113700170535"/>
    <x v="5"/>
    <x v="0"/>
    <s v="Clean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s v="Paid"/>
    <x v="2"/>
    <n v="0.15"/>
    <n v="9445.098"/>
    <n v="3858.8180000000002"/>
    <n v="0.40855245758170006"/>
    <x v="1"/>
    <x v="1"/>
    <s v="Clean"/>
  </r>
  <r>
    <s v="ORD-2025-10374"/>
    <d v="2025-04-13T00:00:00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s v="Paid"/>
    <x v="2"/>
    <n v="0"/>
    <n v="10068.120000000001"/>
    <n v="1472.75"/>
    <n v="0.14627855051389932"/>
    <x v="5"/>
    <x v="1"/>
    <s v="Clean"/>
  </r>
  <r>
    <s v="ORD-2025-10225"/>
    <d v="2025-10-02T00:00:00"/>
    <d v="2025-10-08T00:00:00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s v="Paid"/>
    <x v="2"/>
    <n v="0.25"/>
    <n v="11833.92"/>
    <n v="5151"/>
    <n v="0.43527419485681834"/>
    <x v="8"/>
    <x v="1"/>
    <s v="Clean"/>
  </r>
  <r>
    <s v="ORD-2025-10315"/>
    <d v="2025-05-18T00:00:00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s v="Failed"/>
    <x v="0"/>
    <n v="0.15"/>
    <n v="6485.3639999999996"/>
    <n v="1109.1939999999995"/>
    <n v="0.17103033846673826"/>
    <x v="4"/>
    <x v="1"/>
    <s v="Clean"/>
  </r>
  <r>
    <s v="ORD-2025-10171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s v="Paid"/>
    <x v="2"/>
    <n v="0"/>
    <n v="5133.96"/>
    <n v="1203.96"/>
    <n v="0.23450903396208775"/>
    <x v="0"/>
    <x v="1"/>
    <s v="Clean"/>
  </r>
  <r>
    <s v="ORD-2024-10424"/>
    <d v="2024-02-20T00:00:0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s v="Paid"/>
    <x v="2"/>
    <n v="0.2"/>
    <n v="27211.032000000003"/>
    <n v="9270.6020000000026"/>
    <n v="0.34069277490100347"/>
    <x v="6"/>
    <x v="0"/>
    <s v="Clean"/>
  </r>
  <r>
    <s v="ORD-2025-10572"/>
    <d v="2025-02-10T00:00:00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s v="Failed"/>
    <x v="0"/>
    <n v="0"/>
    <n v="21381.45"/>
    <n v="8141.2400000000016"/>
    <n v="0.38076182859441249"/>
    <x v="6"/>
    <x v="1"/>
    <s v="Clean"/>
  </r>
  <r>
    <s v="ORD-2024-10143"/>
    <d v="2024-03-30T00:00:00"/>
    <d v="2024-03-26T00:00:00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s v="Paid"/>
    <x v="2"/>
    <n v="0.15"/>
    <n v="3857.0449999999996"/>
    <n v="1087.7849999999994"/>
    <n v="0.28202548842442843"/>
    <x v="10"/>
    <x v="0"/>
    <s v="Warning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x v="2"/>
    <n v="0.1"/>
    <n v="3510.4230000000002"/>
    <n v="1318.9230000000002"/>
    <n v="0.37571625983535323"/>
    <x v="1"/>
    <x v="0"/>
    <s v="Clean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s v="Refunded"/>
    <x v="2"/>
    <n v="0"/>
    <n v="634.13"/>
    <n v="180.77999999999997"/>
    <n v="0.28508350022865969"/>
    <x v="4"/>
    <x v="0"/>
    <s v="Clean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s v="Paid"/>
    <x v="2"/>
    <n v="0.1"/>
    <n v="11581.299000000001"/>
    <n v="4751.8690000000006"/>
    <n v="0.41030535521101735"/>
    <x v="2"/>
    <x v="1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90188-D1DE-411E-8652-5A6CBB567678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9">
    <pivotField showAll="0"/>
    <pivotField numFmtId="14" showAll="0"/>
    <pivotField numFmtId="14" showAll="0"/>
    <pivotField numFmtId="1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0" showAll="0"/>
    <pivotField showAll="0"/>
    <pivotField showAll="0"/>
    <pivotField numFmtId="10" showAll="0"/>
    <pivotField showAll="0"/>
    <pivotField showAll="0"/>
    <pivotField showAll="0"/>
  </pivotFields>
  <rowFields count="1">
    <field x="7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5A2EC-8CB5-4560-BE7A-BD34F36541DC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29"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numFmtId="10" showAll="0"/>
    <pivotField showAll="0"/>
    <pivotField showAll="0"/>
    <pivotField numFmtId="10" showAll="0"/>
    <pivotField showAll="0"/>
    <pivotField showAll="0"/>
    <pivotField showAll="0"/>
  </pivotFields>
  <rowFields count="2">
    <field x="10"/>
    <field x="11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B2D7D-06E4-421E-9267-FBD59392815B}" name="PivotTable9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9">
    <pivotField showAll="0"/>
    <pivotField dataField="1"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numFmtId="10"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9967D-696A-45CD-B74D-C41703FC2DAE}" name="PivotTable10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9">
    <pivotField showAll="0"/>
    <pivotField numFmtId="14" showAll="0"/>
    <pivotField numFmtId="14" showAll="0"/>
    <pivotField numFmtId="1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dataField="1" numFmtId="10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5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840BC-BA59-443C-BE09-18F2F49862FA}" name="PivotTable1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1" firstDataRow="2" firstDataCol="1"/>
  <pivotFields count="29">
    <pivotField dataField="1" compact="0" outline="0" showAll="0" defaultSubtotal="0"/>
    <pivotField compact="0" numFmtId="14" outline="0" showAll="0" defaultSubtotal="0"/>
    <pivotField compact="0" numFmtId="14" outline="0" showAll="0" defaultSubtotal="0"/>
    <pivotField compact="0" numFmtId="1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0"/>
        <item x="2"/>
        <item x="4"/>
        <item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3">
        <item x="1"/>
        <item h="1" x="0"/>
        <item x="2"/>
      </items>
    </pivotField>
    <pivotField compact="0" numFmtId="10" outline="0" showAll="0" defaultSubtotal="0"/>
    <pivotField compact="0" outline="0" showAll="0" defaultSubtotal="0"/>
    <pivotField compact="0" outline="0" showAll="0" defaultSubtotal="0"/>
    <pivotField compact="0" numFmtId="1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1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AF497-637B-4C52-8FC2-9A38B51526A1}" name="PivotTable1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29">
    <pivotField showAll="0"/>
    <pivotField numFmtId="14" showAll="0"/>
    <pivotField numFmtId="1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  <pivotField showAll="0"/>
    <pivotField numFmtId="10" showAll="0"/>
    <pivotField axis="axisRow" showAll="0">
      <items count="13">
        <item x="9"/>
        <item x="6"/>
        <item x="10"/>
        <item x="5"/>
        <item x="4"/>
        <item x="2"/>
        <item x="0"/>
        <item x="1"/>
        <item x="11"/>
        <item x="8"/>
        <item x="3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27"/>
    <field x="26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B638-E2BC-4100-89AE-AB03615BDA4C}">
  <dimension ref="A3:C9"/>
  <sheetViews>
    <sheetView workbookViewId="0">
      <selection activeCell="E18" sqref="E18"/>
    </sheetView>
  </sheetViews>
  <sheetFormatPr defaultRowHeight="13.8"/>
  <cols>
    <col min="1" max="1" width="13.09765625" bestFit="1" customWidth="1"/>
    <col min="2" max="3" width="12.19921875" bestFit="1" customWidth="1"/>
  </cols>
  <sheetData>
    <row r="3" spans="1:3">
      <c r="A3" s="9" t="s">
        <v>2769</v>
      </c>
      <c r="B3" t="s">
        <v>2772</v>
      </c>
      <c r="C3" t="s">
        <v>2771</v>
      </c>
    </row>
    <row r="4" spans="1:3">
      <c r="A4" s="10" t="s">
        <v>54</v>
      </c>
      <c r="B4" s="11">
        <v>2319638.1999999993</v>
      </c>
      <c r="C4" s="11">
        <v>664110.75999999943</v>
      </c>
    </row>
    <row r="5" spans="1:3">
      <c r="A5" s="10" t="s">
        <v>38</v>
      </c>
      <c r="B5" s="11">
        <v>2195887.7799999998</v>
      </c>
      <c r="C5" s="11">
        <v>674396.4800000001</v>
      </c>
    </row>
    <row r="6" spans="1:3">
      <c r="A6" s="10" t="s">
        <v>25</v>
      </c>
      <c r="B6" s="11">
        <v>2166470.1099999994</v>
      </c>
      <c r="C6" s="11">
        <v>642497.06000000029</v>
      </c>
    </row>
    <row r="7" spans="1:3">
      <c r="A7" s="10" t="s">
        <v>63</v>
      </c>
      <c r="B7" s="11">
        <v>2107785.1700000013</v>
      </c>
      <c r="C7" s="11">
        <v>591397.11</v>
      </c>
    </row>
    <row r="8" spans="1:3">
      <c r="A8" s="10" t="s">
        <v>2760</v>
      </c>
      <c r="B8" s="11">
        <v>289809.21000000002</v>
      </c>
      <c r="C8" s="11">
        <v>94818.06</v>
      </c>
    </row>
    <row r="9" spans="1:3">
      <c r="A9" s="10" t="s">
        <v>2770</v>
      </c>
      <c r="B9" s="11">
        <v>9079590.4699999988</v>
      </c>
      <c r="C9" s="11">
        <v>2667219.4699999997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9BFA-D77E-45AF-84E4-7C2DF4EAEA43}">
  <dimension ref="A3:C20"/>
  <sheetViews>
    <sheetView workbookViewId="0">
      <selection activeCell="B7" sqref="B7"/>
    </sheetView>
  </sheetViews>
  <sheetFormatPr defaultRowHeight="13.8"/>
  <cols>
    <col min="1" max="1" width="16" bestFit="1" customWidth="1"/>
    <col min="2" max="3" width="12.19921875" bestFit="1" customWidth="1"/>
  </cols>
  <sheetData>
    <row r="3" spans="1:3">
      <c r="A3" s="9" t="s">
        <v>2769</v>
      </c>
      <c r="B3" t="s">
        <v>2772</v>
      </c>
      <c r="C3" t="s">
        <v>2771</v>
      </c>
    </row>
    <row r="4" spans="1:3">
      <c r="A4" s="10" t="s">
        <v>41</v>
      </c>
      <c r="B4" s="11">
        <v>3128366.6500000004</v>
      </c>
      <c r="C4" s="11">
        <v>920214.45</v>
      </c>
    </row>
    <row r="5" spans="1:3">
      <c r="A5" s="12" t="s">
        <v>158</v>
      </c>
      <c r="B5" s="11">
        <v>686750.93</v>
      </c>
      <c r="C5" s="11">
        <v>198694.22000000003</v>
      </c>
    </row>
    <row r="6" spans="1:3">
      <c r="A6" s="12" t="s">
        <v>66</v>
      </c>
      <c r="B6" s="11">
        <v>972075.33999999985</v>
      </c>
      <c r="C6" s="11">
        <v>282367.33999999997</v>
      </c>
    </row>
    <row r="7" spans="1:3">
      <c r="A7" s="12" t="s">
        <v>57</v>
      </c>
      <c r="B7" s="11">
        <v>789467.08000000007</v>
      </c>
      <c r="C7" s="11">
        <v>228402.52999999997</v>
      </c>
    </row>
    <row r="8" spans="1:3">
      <c r="A8" s="12" t="s">
        <v>42</v>
      </c>
      <c r="B8" s="11">
        <v>680073.3</v>
      </c>
      <c r="C8" s="11">
        <v>210750.36</v>
      </c>
    </row>
    <row r="9" spans="1:3">
      <c r="A9" s="10" t="s">
        <v>28</v>
      </c>
      <c r="B9" s="11">
        <v>2783462.06</v>
      </c>
      <c r="C9" s="11">
        <v>803677.37</v>
      </c>
    </row>
    <row r="10" spans="1:3">
      <c r="A10" s="12" t="s">
        <v>48</v>
      </c>
      <c r="B10" s="11">
        <v>580984.80000000005</v>
      </c>
      <c r="C10" s="11">
        <v>165565.25999999995</v>
      </c>
    </row>
    <row r="11" spans="1:3">
      <c r="A11" s="12" t="s">
        <v>153</v>
      </c>
      <c r="B11" s="11">
        <v>555619.29999999993</v>
      </c>
      <c r="C11" s="11">
        <v>166674.33000000002</v>
      </c>
    </row>
    <row r="12" spans="1:3">
      <c r="A12" s="12" t="s">
        <v>91</v>
      </c>
      <c r="B12" s="11">
        <v>341081.60999999993</v>
      </c>
      <c r="C12" s="11">
        <v>105086.29</v>
      </c>
    </row>
    <row r="13" spans="1:3">
      <c r="A13" s="12" t="s">
        <v>29</v>
      </c>
      <c r="B13" s="11">
        <v>616740.47000000009</v>
      </c>
      <c r="C13" s="11">
        <v>176877.61</v>
      </c>
    </row>
    <row r="14" spans="1:3">
      <c r="A14" s="12" t="s">
        <v>124</v>
      </c>
      <c r="B14" s="11">
        <v>689035.87999999989</v>
      </c>
      <c r="C14" s="11">
        <v>189473.88000000003</v>
      </c>
    </row>
    <row r="15" spans="1:3">
      <c r="A15" s="10" t="s">
        <v>74</v>
      </c>
      <c r="B15" s="11">
        <v>3167761.7599999993</v>
      </c>
      <c r="C15" s="11">
        <v>943327.65</v>
      </c>
    </row>
    <row r="16" spans="1:3">
      <c r="A16" s="12" t="s">
        <v>75</v>
      </c>
      <c r="B16" s="11">
        <v>822281.68999999959</v>
      </c>
      <c r="C16" s="11">
        <v>248081.91000000006</v>
      </c>
    </row>
    <row r="17" spans="1:3">
      <c r="A17" s="12" t="s">
        <v>80</v>
      </c>
      <c r="B17" s="11">
        <v>895289.60000000021</v>
      </c>
      <c r="C17" s="11">
        <v>263451.58</v>
      </c>
    </row>
    <row r="18" spans="1:3">
      <c r="A18" s="12" t="s">
        <v>274</v>
      </c>
      <c r="B18" s="11">
        <v>652672.68999999983</v>
      </c>
      <c r="C18" s="11">
        <v>202694</v>
      </c>
    </row>
    <row r="19" spans="1:3">
      <c r="A19" s="12" t="s">
        <v>171</v>
      </c>
      <c r="B19" s="11">
        <v>797517.77999999991</v>
      </c>
      <c r="C19" s="11">
        <v>229100.15999999995</v>
      </c>
    </row>
    <row r="20" spans="1:3">
      <c r="A20" s="10" t="s">
        <v>2770</v>
      </c>
      <c r="B20" s="11">
        <v>9079590.4699999988</v>
      </c>
      <c r="C20" s="11">
        <v>2667219.4700000002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4538-D1D2-43AD-8724-E4E7B53D0928}">
  <dimension ref="A3:B9"/>
  <sheetViews>
    <sheetView topLeftCell="D1" workbookViewId="0">
      <selection activeCell="H9" sqref="H9"/>
    </sheetView>
  </sheetViews>
  <sheetFormatPr defaultRowHeight="13.8"/>
  <cols>
    <col min="1" max="1" width="13.296875" bestFit="1" customWidth="1"/>
    <col min="2" max="2" width="18.5" bestFit="1" customWidth="1"/>
  </cols>
  <sheetData>
    <row r="3" spans="1:2">
      <c r="A3" s="9" t="s">
        <v>2769</v>
      </c>
      <c r="B3" t="s">
        <v>2773</v>
      </c>
    </row>
    <row r="4" spans="1:2">
      <c r="A4" s="10" t="s">
        <v>50</v>
      </c>
      <c r="B4" s="11">
        <v>223</v>
      </c>
    </row>
    <row r="5" spans="1:2">
      <c r="A5" s="10" t="s">
        <v>44</v>
      </c>
      <c r="B5" s="11">
        <v>204</v>
      </c>
    </row>
    <row r="6" spans="1:2">
      <c r="A6" s="10" t="s">
        <v>31</v>
      </c>
      <c r="B6" s="11">
        <v>222</v>
      </c>
    </row>
    <row r="7" spans="1:2">
      <c r="A7" s="10" t="s">
        <v>59</v>
      </c>
      <c r="B7" s="11">
        <v>242</v>
      </c>
    </row>
    <row r="8" spans="1:2">
      <c r="A8" s="10" t="s">
        <v>2760</v>
      </c>
      <c r="B8" s="11">
        <v>21</v>
      </c>
    </row>
    <row r="9" spans="1:2">
      <c r="A9" s="10" t="s">
        <v>2770</v>
      </c>
      <c r="B9" s="11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1B5E-F231-4BCC-87DB-75593FC02456}">
  <dimension ref="A3:B8"/>
  <sheetViews>
    <sheetView topLeftCell="J1" workbookViewId="0">
      <selection activeCell="B6" sqref="B6"/>
    </sheetView>
  </sheetViews>
  <sheetFormatPr defaultRowHeight="13.8"/>
  <cols>
    <col min="1" max="1" width="13.19921875" bestFit="1" customWidth="1"/>
    <col min="2" max="2" width="23" bestFit="1" customWidth="1"/>
  </cols>
  <sheetData>
    <row r="3" spans="1:2">
      <c r="A3" s="9" t="s">
        <v>2769</v>
      </c>
      <c r="B3" t="s">
        <v>2774</v>
      </c>
    </row>
    <row r="4" spans="1:2">
      <c r="A4" s="10" t="s">
        <v>24</v>
      </c>
      <c r="B4" s="8">
        <v>0.2469567190022274</v>
      </c>
    </row>
    <row r="5" spans="1:2">
      <c r="A5" s="10" t="s">
        <v>90</v>
      </c>
      <c r="B5" s="8">
        <v>0.2645802527796251</v>
      </c>
    </row>
    <row r="6" spans="1:2">
      <c r="A6" s="10" t="s">
        <v>95</v>
      </c>
      <c r="B6" s="8">
        <v>0.28616370867610508</v>
      </c>
    </row>
    <row r="7" spans="1:2">
      <c r="A7" s="10" t="s">
        <v>37</v>
      </c>
      <c r="B7" s="8">
        <v>0.2971964651859228</v>
      </c>
    </row>
    <row r="8" spans="1:2">
      <c r="A8" s="10" t="s">
        <v>2770</v>
      </c>
      <c r="B8" s="8">
        <v>0.27438772175200343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3F62-B4C6-4699-8BD0-92E9C45B6B28}">
  <dimension ref="A3:D10"/>
  <sheetViews>
    <sheetView zoomScaleNormal="100" workbookViewId="0">
      <selection activeCell="C9" sqref="C9"/>
    </sheetView>
  </sheetViews>
  <sheetFormatPr defaultRowHeight="13.8"/>
  <cols>
    <col min="1" max="1" width="16.19921875" bestFit="1" customWidth="1"/>
    <col min="2" max="3" width="13.8984375" bestFit="1" customWidth="1"/>
    <col min="4" max="5" width="11" bestFit="1" customWidth="1"/>
  </cols>
  <sheetData>
    <row r="3" spans="1:4">
      <c r="A3" s="9" t="s">
        <v>2787</v>
      </c>
      <c r="B3" s="9" t="s">
        <v>20</v>
      </c>
    </row>
    <row r="4" spans="1:4">
      <c r="A4" s="9" t="s">
        <v>6</v>
      </c>
      <c r="B4" t="s">
        <v>68</v>
      </c>
      <c r="C4" t="s">
        <v>103</v>
      </c>
      <c r="D4" t="s">
        <v>2770</v>
      </c>
    </row>
    <row r="5" spans="1:4">
      <c r="A5" t="s">
        <v>38</v>
      </c>
      <c r="B5" s="11">
        <v>30</v>
      </c>
      <c r="C5" s="11">
        <v>45</v>
      </c>
      <c r="D5" s="11">
        <v>75</v>
      </c>
    </row>
    <row r="6" spans="1:4">
      <c r="A6" t="s">
        <v>25</v>
      </c>
      <c r="B6" s="11">
        <v>48</v>
      </c>
      <c r="C6" s="11">
        <v>37</v>
      </c>
      <c r="D6" s="11">
        <v>85</v>
      </c>
    </row>
    <row r="7" spans="1:4">
      <c r="A7" t="s">
        <v>54</v>
      </c>
      <c r="B7" s="11">
        <v>35</v>
      </c>
      <c r="C7" s="11">
        <v>37</v>
      </c>
      <c r="D7" s="11">
        <v>72</v>
      </c>
    </row>
    <row r="8" spans="1:4">
      <c r="A8" t="s">
        <v>2760</v>
      </c>
      <c r="B8" s="11">
        <v>2</v>
      </c>
      <c r="C8" s="11">
        <v>4</v>
      </c>
      <c r="D8" s="11">
        <v>6</v>
      </c>
    </row>
    <row r="9" spans="1:4">
      <c r="A9" t="s">
        <v>63</v>
      </c>
      <c r="B9" s="11">
        <v>30</v>
      </c>
      <c r="C9" s="11">
        <v>40</v>
      </c>
      <c r="D9" s="11">
        <v>70</v>
      </c>
    </row>
    <row r="10" spans="1:4">
      <c r="A10" t="s">
        <v>2770</v>
      </c>
      <c r="B10" s="11">
        <v>145</v>
      </c>
      <c r="C10" s="11">
        <v>163</v>
      </c>
      <c r="D10" s="11">
        <v>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1D4E-7F96-4B9C-BEFE-AD502D3FD7C5}">
  <dimension ref="A3:B30"/>
  <sheetViews>
    <sheetView tabSelected="1" topLeftCell="A2" workbookViewId="0">
      <selection activeCell="E19" sqref="E19"/>
    </sheetView>
  </sheetViews>
  <sheetFormatPr defaultRowHeight="13.8"/>
  <cols>
    <col min="1" max="1" width="13.296875" bestFit="1" customWidth="1"/>
    <col min="2" max="2" width="12.19921875" bestFit="1" customWidth="1"/>
  </cols>
  <sheetData>
    <row r="3" spans="1:2">
      <c r="A3" s="9" t="s">
        <v>2769</v>
      </c>
      <c r="B3" t="s">
        <v>2772</v>
      </c>
    </row>
    <row r="4" spans="1:2">
      <c r="A4" s="10">
        <v>2024</v>
      </c>
      <c r="B4" s="11">
        <v>4845060.28</v>
      </c>
    </row>
    <row r="5" spans="1:2">
      <c r="A5" s="12" t="s">
        <v>2780</v>
      </c>
      <c r="B5" s="11">
        <v>412836.55000000005</v>
      </c>
    </row>
    <row r="6" spans="1:2">
      <c r="A6" s="12" t="s">
        <v>2782</v>
      </c>
      <c r="B6" s="11">
        <v>452958.52</v>
      </c>
    </row>
    <row r="7" spans="1:2">
      <c r="A7" s="12" t="s">
        <v>2781</v>
      </c>
      <c r="B7" s="11">
        <v>361765.71</v>
      </c>
    </row>
    <row r="8" spans="1:2">
      <c r="A8" s="12" t="s">
        <v>2777</v>
      </c>
      <c r="B8" s="11">
        <v>400717.82</v>
      </c>
    </row>
    <row r="9" spans="1:2">
      <c r="A9" s="12" t="s">
        <v>2779</v>
      </c>
      <c r="B9" s="11">
        <v>482398.72000000009</v>
      </c>
    </row>
    <row r="10" spans="1:2">
      <c r="A10" s="12" t="s">
        <v>2776</v>
      </c>
      <c r="B10" s="11">
        <v>456375.29000000004</v>
      </c>
    </row>
    <row r="11" spans="1:2">
      <c r="A11" s="12" t="s">
        <v>2775</v>
      </c>
      <c r="B11" s="11">
        <v>447262.04000000004</v>
      </c>
    </row>
    <row r="12" spans="1:2">
      <c r="A12" s="12" t="s">
        <v>2783</v>
      </c>
      <c r="B12" s="11">
        <v>318217.52999999997</v>
      </c>
    </row>
    <row r="13" spans="1:2">
      <c r="A13" s="12" t="s">
        <v>2784</v>
      </c>
      <c r="B13" s="11">
        <v>400674.55</v>
      </c>
    </row>
    <row r="14" spans="1:2">
      <c r="A14" s="12" t="s">
        <v>2786</v>
      </c>
      <c r="B14" s="11">
        <v>455451.44000000006</v>
      </c>
    </row>
    <row r="15" spans="1:2">
      <c r="A15" s="12" t="s">
        <v>2785</v>
      </c>
      <c r="B15" s="11">
        <v>391188.86000000016</v>
      </c>
    </row>
    <row r="16" spans="1:2">
      <c r="A16" s="12" t="s">
        <v>2778</v>
      </c>
      <c r="B16" s="11">
        <v>265213.24999999994</v>
      </c>
    </row>
    <row r="17" spans="1:2">
      <c r="A17" s="10">
        <v>2025</v>
      </c>
      <c r="B17" s="11">
        <v>4234530.1900000004</v>
      </c>
    </row>
    <row r="18" spans="1:2">
      <c r="A18" s="12" t="s">
        <v>2780</v>
      </c>
      <c r="B18" s="11">
        <v>467036.29000000004</v>
      </c>
    </row>
    <row r="19" spans="1:2">
      <c r="A19" s="12" t="s">
        <v>2782</v>
      </c>
      <c r="B19" s="11">
        <v>536118.14999999991</v>
      </c>
    </row>
    <row r="20" spans="1:2">
      <c r="A20" s="12" t="s">
        <v>2781</v>
      </c>
      <c r="B20" s="11">
        <v>410709.79000000004</v>
      </c>
    </row>
    <row r="21" spans="1:2">
      <c r="A21" s="12" t="s">
        <v>2777</v>
      </c>
      <c r="B21" s="11">
        <v>400501.95000000007</v>
      </c>
    </row>
    <row r="22" spans="1:2">
      <c r="A22" s="12" t="s">
        <v>2779</v>
      </c>
      <c r="B22" s="11">
        <v>358724.07000000007</v>
      </c>
    </row>
    <row r="23" spans="1:2">
      <c r="A23" s="12" t="s">
        <v>2776</v>
      </c>
      <c r="B23" s="11">
        <v>364698.03</v>
      </c>
    </row>
    <row r="24" spans="1:2">
      <c r="A24" s="12" t="s">
        <v>2775</v>
      </c>
      <c r="B24" s="11">
        <v>430188.6100000001</v>
      </c>
    </row>
    <row r="25" spans="1:2">
      <c r="A25" s="12" t="s">
        <v>2783</v>
      </c>
      <c r="B25" s="11">
        <v>532405.44000000006</v>
      </c>
    </row>
    <row r="26" spans="1:2">
      <c r="A26" s="12" t="s">
        <v>2784</v>
      </c>
      <c r="B26" s="11">
        <v>446496.46</v>
      </c>
    </row>
    <row r="27" spans="1:2">
      <c r="A27" s="12" t="s">
        <v>2786</v>
      </c>
      <c r="B27" s="11">
        <v>222760.42999999993</v>
      </c>
    </row>
    <row r="28" spans="1:2">
      <c r="A28" s="12" t="s">
        <v>2785</v>
      </c>
      <c r="B28" s="11">
        <v>33806.33</v>
      </c>
    </row>
    <row r="29" spans="1:2">
      <c r="A29" s="12" t="s">
        <v>2778</v>
      </c>
      <c r="B29" s="11">
        <v>31084.639999999999</v>
      </c>
    </row>
    <row r="30" spans="1:2">
      <c r="A30" s="10" t="s">
        <v>2770</v>
      </c>
      <c r="B30" s="11">
        <v>9079590.4700000025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3"/>
  <sheetViews>
    <sheetView zoomScale="82" zoomScaleNormal="100" workbookViewId="0">
      <selection activeCell="B15" sqref="A1:AC913"/>
    </sheetView>
  </sheetViews>
  <sheetFormatPr defaultRowHeight="13.8"/>
  <cols>
    <col min="1" max="3" width="16" customWidth="1"/>
    <col min="4" max="4" width="23.59765625" bestFit="1" customWidth="1"/>
    <col min="5" max="22" width="16" customWidth="1"/>
    <col min="23" max="23" width="16.3984375" bestFit="1" customWidth="1"/>
    <col min="24" max="24" width="16.8984375" bestFit="1" customWidth="1"/>
    <col min="25" max="25" width="15.5" bestFit="1" customWidth="1"/>
    <col min="26" max="26" width="12.59765625" bestFit="1" customWidth="1"/>
    <col min="27" max="27" width="12.19921875" bestFit="1" customWidth="1"/>
    <col min="28" max="28" width="10.5" bestFit="1" customWidth="1"/>
    <col min="29" max="29" width="15.796875" bestFit="1" customWidth="1"/>
  </cols>
  <sheetData>
    <row r="1" spans="1:29" ht="22.35" customHeight="1">
      <c r="A1" s="1" t="s">
        <v>0</v>
      </c>
      <c r="B1" s="1" t="s">
        <v>1</v>
      </c>
      <c r="C1" s="1" t="s">
        <v>2</v>
      </c>
      <c r="D1" s="1" t="s">
        <v>2761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2762</v>
      </c>
      <c r="X1" s="1" t="s">
        <v>2763</v>
      </c>
      <c r="Y1" s="1" t="s">
        <v>2764</v>
      </c>
      <c r="Z1" s="1" t="s">
        <v>2765</v>
      </c>
      <c r="AA1" s="1" t="s">
        <v>2766</v>
      </c>
      <c r="AB1" s="1" t="s">
        <v>2767</v>
      </c>
      <c r="AC1" s="1" t="s">
        <v>2768</v>
      </c>
    </row>
    <row r="2" spans="1:29">
      <c r="A2" t="s">
        <v>21</v>
      </c>
      <c r="B2" s="2">
        <v>45494</v>
      </c>
      <c r="C2" s="2">
        <v>45500</v>
      </c>
      <c r="D2" s="3">
        <f t="shared" ref="D2:D65" si="0">C2-B2</f>
        <v>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 s="6">
        <v>0.2</v>
      </c>
      <c r="R2">
        <v>19049.28</v>
      </c>
      <c r="S2">
        <v>15841.89</v>
      </c>
      <c r="T2">
        <v>3207.39</v>
      </c>
      <c r="U2" t="s">
        <v>32</v>
      </c>
      <c r="V2" t="s">
        <v>33</v>
      </c>
      <c r="W2" s="8">
        <f>Q2</f>
        <v>0.2</v>
      </c>
      <c r="X2">
        <f>O2*P2*(1-W2)</f>
        <v>19049.28</v>
      </c>
      <c r="Y2">
        <f>X2-S2</f>
        <v>3207.3899999999994</v>
      </c>
      <c r="Z2" s="8">
        <f>IF(X2=0,0,Y2/X2)</f>
        <v>0.16837329284886357</v>
      </c>
      <c r="AA2" t="str">
        <f>TEXT(B2,"mmmm")</f>
        <v>July</v>
      </c>
      <c r="AB2">
        <f>YEAR(B2)</f>
        <v>2024</v>
      </c>
      <c r="AC2" t="str">
        <f>IF(Q2&lt;0,"Invalid",IF(D2&lt;0,"Warning","Clean"))</f>
        <v>Clean</v>
      </c>
    </row>
    <row r="3" spans="1:29">
      <c r="A3" t="s">
        <v>34</v>
      </c>
      <c r="B3" s="2">
        <v>45535</v>
      </c>
      <c r="C3" s="2">
        <v>45540</v>
      </c>
      <c r="D3" s="3">
        <f t="shared" si="0"/>
        <v>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 s="7">
        <v>0</v>
      </c>
      <c r="R3">
        <v>7312.5</v>
      </c>
      <c r="S3">
        <v>4904.7299999999996</v>
      </c>
      <c r="T3">
        <v>2407.77</v>
      </c>
      <c r="U3" t="s">
        <v>32</v>
      </c>
      <c r="V3" t="s">
        <v>33</v>
      </c>
      <c r="W3" s="8">
        <f t="shared" ref="W3:W66" si="1">Q3</f>
        <v>0</v>
      </c>
      <c r="X3">
        <f t="shared" ref="X3:X66" si="2">O3*P3*(1-W3)</f>
        <v>7312.5</v>
      </c>
      <c r="Y3">
        <f t="shared" ref="Y3:Y66" si="3">X3-S3</f>
        <v>2407.7700000000004</v>
      </c>
      <c r="Z3" s="8">
        <f t="shared" ref="Z3:Z66" si="4">IF(X3=0,0,Y3/X3)</f>
        <v>0.32926769230769237</v>
      </c>
      <c r="AA3" t="str">
        <f t="shared" ref="AA3:AA66" si="5">TEXT(B3,"mmmm")</f>
        <v>August</v>
      </c>
      <c r="AB3">
        <f t="shared" ref="AB3:AB66" si="6">YEAR(B3)</f>
        <v>2024</v>
      </c>
      <c r="AC3" t="str">
        <f t="shared" ref="AC3:AC66" si="7">IF(Q3&lt;0,"Invalid",IF(D3&lt;0,"Warning","Clean"))</f>
        <v>Clean</v>
      </c>
    </row>
    <row r="4" spans="1:29">
      <c r="A4" t="s">
        <v>45</v>
      </c>
      <c r="B4" s="2">
        <v>45451</v>
      </c>
      <c r="C4" s="2">
        <v>45458</v>
      </c>
      <c r="D4" s="3">
        <f t="shared" si="0"/>
        <v>7</v>
      </c>
      <c r="E4" t="s">
        <v>46</v>
      </c>
      <c r="F4" t="s">
        <v>47</v>
      </c>
      <c r="G4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 s="6">
        <v>0.55000000000000004</v>
      </c>
      <c r="R4">
        <v>4261.72</v>
      </c>
      <c r="S4">
        <v>2465.69</v>
      </c>
      <c r="T4">
        <v>1796.03</v>
      </c>
      <c r="U4" t="s">
        <v>32</v>
      </c>
      <c r="V4" t="s">
        <v>33</v>
      </c>
      <c r="W4" s="8">
        <f t="shared" si="1"/>
        <v>0.55000000000000004</v>
      </c>
      <c r="X4">
        <f t="shared" si="2"/>
        <v>1917.7739999999999</v>
      </c>
      <c r="Y4">
        <f t="shared" si="3"/>
        <v>-547.91600000000017</v>
      </c>
      <c r="Z4" s="8">
        <f t="shared" si="4"/>
        <v>-0.28570415492127865</v>
      </c>
      <c r="AA4" t="str">
        <f t="shared" si="5"/>
        <v>June</v>
      </c>
      <c r="AB4">
        <f t="shared" si="6"/>
        <v>2024</v>
      </c>
      <c r="AC4" t="str">
        <f t="shared" si="7"/>
        <v>Clean</v>
      </c>
    </row>
    <row r="5" spans="1:29">
      <c r="A5" t="s">
        <v>51</v>
      </c>
      <c r="B5" s="2">
        <v>45624</v>
      </c>
      <c r="C5" s="2">
        <v>45625</v>
      </c>
      <c r="D5" s="3">
        <f t="shared" si="0"/>
        <v>1</v>
      </c>
      <c r="E5" t="s">
        <v>52</v>
      </c>
      <c r="F5" t="s">
        <v>53</v>
      </c>
      <c r="G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 s="6">
        <v>0.25</v>
      </c>
      <c r="R5">
        <v>8317.93</v>
      </c>
      <c r="S5">
        <v>6796.77</v>
      </c>
      <c r="T5">
        <v>1521.16</v>
      </c>
      <c r="U5" t="s">
        <v>32</v>
      </c>
      <c r="V5" t="s">
        <v>33</v>
      </c>
      <c r="W5" s="8">
        <f t="shared" si="1"/>
        <v>0.25</v>
      </c>
      <c r="X5">
        <f t="shared" si="2"/>
        <v>8317.9349999999995</v>
      </c>
      <c r="Y5">
        <f t="shared" si="3"/>
        <v>1521.1649999999991</v>
      </c>
      <c r="Z5" s="8">
        <f t="shared" si="4"/>
        <v>0.18287772145370204</v>
      </c>
      <c r="AA5" t="str">
        <f t="shared" si="5"/>
        <v>November</v>
      </c>
      <c r="AB5">
        <f t="shared" si="6"/>
        <v>2024</v>
      </c>
      <c r="AC5" t="str">
        <f t="shared" si="7"/>
        <v>Clean</v>
      </c>
    </row>
    <row r="6" spans="1:29">
      <c r="A6" t="s">
        <v>60</v>
      </c>
      <c r="B6" s="2">
        <v>45898</v>
      </c>
      <c r="C6" s="2">
        <v>45901</v>
      </c>
      <c r="D6" s="3">
        <f t="shared" si="0"/>
        <v>3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 s="7">
        <v>0</v>
      </c>
      <c r="R6">
        <v>20816.32</v>
      </c>
      <c r="S6">
        <v>17705.37</v>
      </c>
      <c r="T6">
        <v>3110.95</v>
      </c>
      <c r="U6" t="s">
        <v>32</v>
      </c>
      <c r="V6" t="s">
        <v>68</v>
      </c>
      <c r="W6" s="8">
        <f t="shared" si="1"/>
        <v>0</v>
      </c>
      <c r="X6">
        <f t="shared" si="2"/>
        <v>20816.32</v>
      </c>
      <c r="Y6">
        <f t="shared" si="3"/>
        <v>3110.9500000000007</v>
      </c>
      <c r="Z6" s="8">
        <f t="shared" si="4"/>
        <v>0.14944764492475138</v>
      </c>
      <c r="AA6" t="str">
        <f t="shared" si="5"/>
        <v>August</v>
      </c>
      <c r="AB6">
        <f t="shared" si="6"/>
        <v>2025</v>
      </c>
      <c r="AC6" t="str">
        <f t="shared" si="7"/>
        <v>Clean</v>
      </c>
    </row>
    <row r="7" spans="1:29">
      <c r="A7" t="s">
        <v>69</v>
      </c>
      <c r="B7" s="2">
        <v>45436</v>
      </c>
      <c r="C7" s="2">
        <v>45440</v>
      </c>
      <c r="D7" s="3">
        <f t="shared" si="0"/>
        <v>4</v>
      </c>
      <c r="E7" t="s">
        <v>70</v>
      </c>
      <c r="F7" t="s">
        <v>71</v>
      </c>
      <c r="G7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 s="6">
        <v>0.2</v>
      </c>
      <c r="R7">
        <v>2527.46</v>
      </c>
      <c r="S7">
        <v>1533.58</v>
      </c>
      <c r="T7">
        <v>993.88</v>
      </c>
      <c r="U7" t="s">
        <v>32</v>
      </c>
      <c r="V7" t="s">
        <v>33</v>
      </c>
      <c r="W7" s="8">
        <f t="shared" si="1"/>
        <v>0.2</v>
      </c>
      <c r="X7">
        <f t="shared" si="2"/>
        <v>2527.4639999999999</v>
      </c>
      <c r="Y7">
        <f t="shared" si="3"/>
        <v>993.88400000000001</v>
      </c>
      <c r="Z7" s="8">
        <f t="shared" si="4"/>
        <v>0.39323369195367375</v>
      </c>
      <c r="AA7" t="str">
        <f t="shared" si="5"/>
        <v>May</v>
      </c>
      <c r="AB7">
        <f t="shared" si="6"/>
        <v>2024</v>
      </c>
      <c r="AC7" t="str">
        <f t="shared" si="7"/>
        <v>Clean</v>
      </c>
    </row>
    <row r="8" spans="1:29">
      <c r="A8" t="s">
        <v>77</v>
      </c>
      <c r="B8" s="2">
        <v>45757</v>
      </c>
      <c r="C8" s="2">
        <v>45763</v>
      </c>
      <c r="D8" s="3">
        <f t="shared" si="0"/>
        <v>6</v>
      </c>
      <c r="E8" t="s">
        <v>78</v>
      </c>
      <c r="F8" t="s">
        <v>79</v>
      </c>
      <c r="G8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 s="6">
        <v>0.15</v>
      </c>
      <c r="R8">
        <v>5847.56</v>
      </c>
      <c r="S8">
        <v>4727.25</v>
      </c>
      <c r="T8">
        <v>1120.31</v>
      </c>
      <c r="U8" t="s">
        <v>32</v>
      </c>
      <c r="V8" t="s">
        <v>33</v>
      </c>
      <c r="W8" s="8">
        <f t="shared" si="1"/>
        <v>0.15</v>
      </c>
      <c r="X8">
        <f t="shared" si="2"/>
        <v>5847.5579999999991</v>
      </c>
      <c r="Y8">
        <f t="shared" si="3"/>
        <v>1120.3079999999991</v>
      </c>
      <c r="Z8" s="8">
        <f t="shared" si="4"/>
        <v>0.19158561573908275</v>
      </c>
      <c r="AA8" t="str">
        <f t="shared" si="5"/>
        <v>April</v>
      </c>
      <c r="AB8">
        <f t="shared" si="6"/>
        <v>2025</v>
      </c>
      <c r="AC8" t="str">
        <f t="shared" si="7"/>
        <v>Clean</v>
      </c>
    </row>
    <row r="9" spans="1:29">
      <c r="A9" t="s">
        <v>82</v>
      </c>
      <c r="B9" s="2">
        <v>45711</v>
      </c>
      <c r="C9" s="2">
        <v>45714</v>
      </c>
      <c r="D9" s="3">
        <f t="shared" si="0"/>
        <v>3</v>
      </c>
      <c r="E9" t="s">
        <v>83</v>
      </c>
      <c r="F9" t="s">
        <v>47</v>
      </c>
      <c r="G9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 s="7">
        <v>0</v>
      </c>
      <c r="R9">
        <v>2980.71</v>
      </c>
      <c r="S9">
        <v>2357.2199999999998</v>
      </c>
      <c r="T9">
        <v>623.49</v>
      </c>
      <c r="U9" t="s">
        <v>32</v>
      </c>
      <c r="V9" t="s">
        <v>33</v>
      </c>
      <c r="W9" s="8">
        <f t="shared" si="1"/>
        <v>0</v>
      </c>
      <c r="X9">
        <f t="shared" si="2"/>
        <v>2980.71</v>
      </c>
      <c r="Y9">
        <f t="shared" si="3"/>
        <v>623.49000000000024</v>
      </c>
      <c r="Z9" s="8">
        <f t="shared" si="4"/>
        <v>0.20917499521925992</v>
      </c>
      <c r="AA9" t="str">
        <f t="shared" si="5"/>
        <v>February</v>
      </c>
      <c r="AB9">
        <f t="shared" si="6"/>
        <v>2025</v>
      </c>
      <c r="AC9" t="str">
        <f t="shared" si="7"/>
        <v>Clean</v>
      </c>
    </row>
    <row r="10" spans="1:29">
      <c r="A10" t="s">
        <v>87</v>
      </c>
      <c r="B10" s="2">
        <v>45601</v>
      </c>
      <c r="C10" s="2">
        <v>45606</v>
      </c>
      <c r="D10" s="3">
        <f t="shared" si="0"/>
        <v>5</v>
      </c>
      <c r="E10" t="s">
        <v>88</v>
      </c>
      <c r="F10" t="s">
        <v>89</v>
      </c>
      <c r="G10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 s="7">
        <v>0</v>
      </c>
      <c r="R10">
        <v>25073.599999999999</v>
      </c>
      <c r="S10">
        <v>17347.23</v>
      </c>
      <c r="T10">
        <v>7726.37</v>
      </c>
      <c r="U10" t="s">
        <v>32</v>
      </c>
      <c r="V10" t="s">
        <v>33</v>
      </c>
      <c r="W10" s="8">
        <f t="shared" si="1"/>
        <v>0</v>
      </c>
      <c r="X10">
        <f t="shared" si="2"/>
        <v>25073.599999999999</v>
      </c>
      <c r="Y10">
        <f t="shared" si="3"/>
        <v>7726.369999999999</v>
      </c>
      <c r="Z10" s="8">
        <f t="shared" si="4"/>
        <v>0.30814761342607361</v>
      </c>
      <c r="AA10" t="str">
        <f t="shared" si="5"/>
        <v>November</v>
      </c>
      <c r="AB10">
        <f t="shared" si="6"/>
        <v>2024</v>
      </c>
      <c r="AC10" t="str">
        <f t="shared" si="7"/>
        <v>Clean</v>
      </c>
    </row>
    <row r="11" spans="1:29">
      <c r="A11" t="s">
        <v>93</v>
      </c>
      <c r="B11" s="2">
        <v>45847</v>
      </c>
      <c r="C11" s="2">
        <v>45912</v>
      </c>
      <c r="D11" s="3">
        <f t="shared" si="0"/>
        <v>65</v>
      </c>
      <c r="E11" t="s">
        <v>94</v>
      </c>
      <c r="F11" t="s">
        <v>36</v>
      </c>
      <c r="G11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 s="6">
        <v>0.2</v>
      </c>
      <c r="R11">
        <v>6134.69</v>
      </c>
      <c r="S11">
        <v>3800.19</v>
      </c>
      <c r="T11">
        <v>2334.5</v>
      </c>
      <c r="U11" t="s">
        <v>32</v>
      </c>
      <c r="V11" t="s">
        <v>33</v>
      </c>
      <c r="W11" s="8">
        <f t="shared" si="1"/>
        <v>0.2</v>
      </c>
      <c r="X11">
        <f t="shared" si="2"/>
        <v>6134.6880000000001</v>
      </c>
      <c r="Y11">
        <f t="shared" si="3"/>
        <v>2334.498</v>
      </c>
      <c r="Z11" s="8">
        <f t="shared" si="4"/>
        <v>0.38054062407085737</v>
      </c>
      <c r="AA11" t="str">
        <f t="shared" si="5"/>
        <v>July</v>
      </c>
      <c r="AB11">
        <f t="shared" si="6"/>
        <v>2025</v>
      </c>
      <c r="AC11" t="str">
        <f t="shared" si="7"/>
        <v>Clean</v>
      </c>
    </row>
    <row r="12" spans="1:29">
      <c r="A12" t="s">
        <v>97</v>
      </c>
      <c r="B12" s="2">
        <v>45797</v>
      </c>
      <c r="C12" s="2">
        <v>45797</v>
      </c>
      <c r="D12" s="3">
        <f t="shared" si="0"/>
        <v>0</v>
      </c>
      <c r="E12" t="s">
        <v>98</v>
      </c>
      <c r="F12" t="s">
        <v>62</v>
      </c>
      <c r="G12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 s="6">
        <v>0.05</v>
      </c>
      <c r="R12">
        <v>10074.27</v>
      </c>
      <c r="S12">
        <v>6048.27</v>
      </c>
      <c r="T12">
        <v>4026</v>
      </c>
      <c r="U12" t="s">
        <v>102</v>
      </c>
      <c r="V12" t="s">
        <v>103</v>
      </c>
      <c r="W12" s="8">
        <f t="shared" si="1"/>
        <v>0.05</v>
      </c>
      <c r="X12">
        <f t="shared" si="2"/>
        <v>10074.2655</v>
      </c>
      <c r="Y12">
        <f t="shared" si="3"/>
        <v>4025.9954999999991</v>
      </c>
      <c r="Z12" s="8">
        <f t="shared" si="4"/>
        <v>0.39963166545491574</v>
      </c>
      <c r="AA12" t="str">
        <f t="shared" si="5"/>
        <v>May</v>
      </c>
      <c r="AB12">
        <f t="shared" si="6"/>
        <v>2025</v>
      </c>
      <c r="AC12" t="str">
        <f t="shared" si="7"/>
        <v>Clean</v>
      </c>
    </row>
    <row r="13" spans="1:29">
      <c r="A13" t="s">
        <v>104</v>
      </c>
      <c r="B13" s="2">
        <v>45495</v>
      </c>
      <c r="C13" s="2">
        <v>45496</v>
      </c>
      <c r="D13" s="3">
        <f t="shared" si="0"/>
        <v>1</v>
      </c>
      <c r="E13" t="s">
        <v>105</v>
      </c>
      <c r="F13" t="s">
        <v>71</v>
      </c>
      <c r="G13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 s="6">
        <v>0.2</v>
      </c>
      <c r="R13">
        <v>9628.56</v>
      </c>
      <c r="S13">
        <v>8038.59</v>
      </c>
      <c r="T13">
        <v>1589.97</v>
      </c>
      <c r="U13" t="s">
        <v>32</v>
      </c>
      <c r="V13" t="s">
        <v>33</v>
      </c>
      <c r="W13" s="8">
        <f t="shared" si="1"/>
        <v>0.2</v>
      </c>
      <c r="X13">
        <f t="shared" si="2"/>
        <v>9628.5600000000013</v>
      </c>
      <c r="Y13">
        <f t="shared" si="3"/>
        <v>1589.9700000000012</v>
      </c>
      <c r="Z13" s="8">
        <f t="shared" si="4"/>
        <v>0.16513061143099289</v>
      </c>
      <c r="AA13" t="str">
        <f t="shared" si="5"/>
        <v>July</v>
      </c>
      <c r="AB13">
        <f t="shared" si="6"/>
        <v>2024</v>
      </c>
      <c r="AC13" t="str">
        <f t="shared" si="7"/>
        <v>Clean</v>
      </c>
    </row>
    <row r="14" spans="1:29">
      <c r="A14" t="s">
        <v>107</v>
      </c>
      <c r="B14" s="2">
        <v>45646</v>
      </c>
      <c r="C14" s="2">
        <v>45647</v>
      </c>
      <c r="D14" s="3">
        <f t="shared" si="0"/>
        <v>1</v>
      </c>
      <c r="E14" t="s">
        <v>108</v>
      </c>
      <c r="F14" t="s">
        <v>62</v>
      </c>
      <c r="G14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 s="6">
        <v>0.15</v>
      </c>
      <c r="R14">
        <v>596.82000000000005</v>
      </c>
      <c r="S14">
        <v>380.25</v>
      </c>
      <c r="T14">
        <v>216.57</v>
      </c>
      <c r="U14" t="s">
        <v>111</v>
      </c>
      <c r="V14" t="s">
        <v>103</v>
      </c>
      <c r="W14" s="8">
        <f t="shared" si="1"/>
        <v>0.15</v>
      </c>
      <c r="X14">
        <f t="shared" si="2"/>
        <v>596.81899999999996</v>
      </c>
      <c r="Y14">
        <f t="shared" si="3"/>
        <v>216.56899999999996</v>
      </c>
      <c r="Z14" s="8">
        <f t="shared" si="4"/>
        <v>0.36287216057129545</v>
      </c>
      <c r="AA14" t="str">
        <f t="shared" si="5"/>
        <v>December</v>
      </c>
      <c r="AB14">
        <f t="shared" si="6"/>
        <v>2024</v>
      </c>
      <c r="AC14" t="str">
        <f t="shared" si="7"/>
        <v>Clean</v>
      </c>
    </row>
    <row r="15" spans="1:29">
      <c r="A15" t="s">
        <v>112</v>
      </c>
      <c r="B15" s="2">
        <v>45942</v>
      </c>
      <c r="C15" s="2">
        <v>45946</v>
      </c>
      <c r="D15" s="3">
        <f t="shared" si="0"/>
        <v>4</v>
      </c>
      <c r="E15" t="s">
        <v>113</v>
      </c>
      <c r="F15" t="s">
        <v>114</v>
      </c>
      <c r="G1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 s="6">
        <v>0.05</v>
      </c>
      <c r="R15">
        <v>26365.39</v>
      </c>
      <c r="S15">
        <v>22306.240000000002</v>
      </c>
      <c r="T15">
        <v>4059.15</v>
      </c>
      <c r="U15" t="s">
        <v>32</v>
      </c>
      <c r="V15" t="s">
        <v>33</v>
      </c>
      <c r="W15" s="8">
        <f t="shared" si="1"/>
        <v>0.05</v>
      </c>
      <c r="X15">
        <f t="shared" si="2"/>
        <v>26365.387999999995</v>
      </c>
      <c r="Y15">
        <f t="shared" si="3"/>
        <v>4059.1479999999938</v>
      </c>
      <c r="Z15" s="8">
        <f t="shared" si="4"/>
        <v>0.15395745361304733</v>
      </c>
      <c r="AA15" t="str">
        <f t="shared" si="5"/>
        <v>October</v>
      </c>
      <c r="AB15">
        <f t="shared" si="6"/>
        <v>2025</v>
      </c>
      <c r="AC15" t="str">
        <f t="shared" si="7"/>
        <v>Clean</v>
      </c>
    </row>
    <row r="16" spans="1:29">
      <c r="A16" t="s">
        <v>116</v>
      </c>
      <c r="B16" s="2">
        <v>45653</v>
      </c>
      <c r="C16" s="2">
        <v>45654</v>
      </c>
      <c r="D16" s="3">
        <f t="shared" si="0"/>
        <v>1</v>
      </c>
      <c r="E16" t="s">
        <v>117</v>
      </c>
      <c r="F16" t="s">
        <v>118</v>
      </c>
      <c r="G16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 s="6">
        <v>0.25</v>
      </c>
      <c r="R16">
        <v>4106.74</v>
      </c>
      <c r="S16">
        <v>2666.3</v>
      </c>
      <c r="T16">
        <v>1440.44</v>
      </c>
      <c r="U16" t="s">
        <v>32</v>
      </c>
      <c r="V16" t="s">
        <v>33</v>
      </c>
      <c r="W16" s="8">
        <f t="shared" si="1"/>
        <v>0.25</v>
      </c>
      <c r="X16">
        <f t="shared" si="2"/>
        <v>4106.7449999999999</v>
      </c>
      <c r="Y16">
        <f t="shared" si="3"/>
        <v>1440.4449999999997</v>
      </c>
      <c r="Z16" s="8">
        <f t="shared" si="4"/>
        <v>0.35075102057712365</v>
      </c>
      <c r="AA16" t="str">
        <f t="shared" si="5"/>
        <v>December</v>
      </c>
      <c r="AB16">
        <f t="shared" si="6"/>
        <v>2024</v>
      </c>
      <c r="AC16" t="str">
        <f t="shared" si="7"/>
        <v>Clean</v>
      </c>
    </row>
    <row r="17" spans="1:29">
      <c r="A17" t="s">
        <v>120</v>
      </c>
      <c r="B17" s="2">
        <v>45482</v>
      </c>
      <c r="C17" s="2">
        <v>45482</v>
      </c>
      <c r="D17" s="3">
        <f t="shared" si="0"/>
        <v>0</v>
      </c>
      <c r="E17" t="s">
        <v>121</v>
      </c>
      <c r="F17" t="s">
        <v>23</v>
      </c>
      <c r="G17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 s="7">
        <v>0</v>
      </c>
      <c r="R17">
        <v>23794.560000000001</v>
      </c>
      <c r="S17">
        <v>15698.47</v>
      </c>
      <c r="T17">
        <v>8096.09</v>
      </c>
      <c r="U17" t="s">
        <v>32</v>
      </c>
      <c r="V17" t="s">
        <v>33</v>
      </c>
      <c r="W17" s="8">
        <f t="shared" si="1"/>
        <v>0</v>
      </c>
      <c r="X17">
        <f t="shared" si="2"/>
        <v>23794.560000000001</v>
      </c>
      <c r="Y17">
        <f t="shared" si="3"/>
        <v>8096.090000000002</v>
      </c>
      <c r="Z17" s="8">
        <f t="shared" si="4"/>
        <v>0.34024962008122872</v>
      </c>
      <c r="AA17" t="str">
        <f t="shared" si="5"/>
        <v>July</v>
      </c>
      <c r="AB17">
        <f t="shared" si="6"/>
        <v>2024</v>
      </c>
      <c r="AC17" t="str">
        <f t="shared" si="7"/>
        <v>Clean</v>
      </c>
    </row>
    <row r="18" spans="1:29">
      <c r="A18" t="s">
        <v>126</v>
      </c>
      <c r="B18" s="2">
        <v>45420</v>
      </c>
      <c r="C18" s="2">
        <v>45427</v>
      </c>
      <c r="D18" s="3">
        <f t="shared" si="0"/>
        <v>7</v>
      </c>
      <c r="E18" t="s">
        <v>127</v>
      </c>
      <c r="F18" t="s">
        <v>128</v>
      </c>
      <c r="G18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 s="6">
        <v>0.25</v>
      </c>
      <c r="R18">
        <v>9970.5300000000007</v>
      </c>
      <c r="S18">
        <v>5668.17</v>
      </c>
      <c r="T18">
        <v>4302.3599999999997</v>
      </c>
      <c r="U18" t="s">
        <v>32</v>
      </c>
      <c r="V18" t="s">
        <v>33</v>
      </c>
      <c r="W18" s="8">
        <f t="shared" si="1"/>
        <v>0.25</v>
      </c>
      <c r="X18">
        <f t="shared" si="2"/>
        <v>9970.5300000000007</v>
      </c>
      <c r="Y18">
        <f t="shared" si="3"/>
        <v>4302.3600000000006</v>
      </c>
      <c r="Z18" s="8">
        <f t="shared" si="4"/>
        <v>0.43150765305354882</v>
      </c>
      <c r="AA18" t="str">
        <f t="shared" si="5"/>
        <v>May</v>
      </c>
      <c r="AB18">
        <f t="shared" si="6"/>
        <v>2024</v>
      </c>
      <c r="AC18" t="str">
        <f t="shared" si="7"/>
        <v>Clean</v>
      </c>
    </row>
    <row r="19" spans="1:29">
      <c r="A19" t="s">
        <v>130</v>
      </c>
      <c r="B19" s="2">
        <v>45298</v>
      </c>
      <c r="C19" s="2">
        <v>45299</v>
      </c>
      <c r="D19" s="3">
        <f t="shared" si="0"/>
        <v>1</v>
      </c>
      <c r="E19" t="s">
        <v>131</v>
      </c>
      <c r="F19" t="s">
        <v>132</v>
      </c>
      <c r="G19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 s="7">
        <v>0</v>
      </c>
      <c r="R19">
        <v>7633.9</v>
      </c>
      <c r="S19">
        <v>4706.91</v>
      </c>
      <c r="T19">
        <v>2926.99</v>
      </c>
      <c r="U19" t="s">
        <v>32</v>
      </c>
      <c r="V19" t="s">
        <v>33</v>
      </c>
      <c r="W19" s="8">
        <f t="shared" si="1"/>
        <v>0</v>
      </c>
      <c r="X19">
        <f t="shared" si="2"/>
        <v>7633.9</v>
      </c>
      <c r="Y19">
        <f t="shared" si="3"/>
        <v>2926.99</v>
      </c>
      <c r="Z19" s="8">
        <f t="shared" si="4"/>
        <v>0.38342000812166782</v>
      </c>
      <c r="AA19" t="str">
        <f t="shared" si="5"/>
        <v>January</v>
      </c>
      <c r="AB19">
        <f t="shared" si="6"/>
        <v>2024</v>
      </c>
      <c r="AC19" t="str">
        <f t="shared" si="7"/>
        <v>Clean</v>
      </c>
    </row>
    <row r="20" spans="1:29">
      <c r="A20" t="s">
        <v>134</v>
      </c>
      <c r="B20" s="2">
        <v>45853</v>
      </c>
      <c r="C20" s="2">
        <v>45855</v>
      </c>
      <c r="D20" s="3">
        <f t="shared" si="0"/>
        <v>2</v>
      </c>
      <c r="E20" t="s">
        <v>135</v>
      </c>
      <c r="F20" t="s">
        <v>128</v>
      </c>
      <c r="G20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 s="7">
        <v>0</v>
      </c>
      <c r="R20">
        <v>3995.98</v>
      </c>
      <c r="S20">
        <v>2633.2</v>
      </c>
      <c r="T20">
        <v>1362.78</v>
      </c>
      <c r="U20" t="s">
        <v>102</v>
      </c>
      <c r="V20" t="s">
        <v>68</v>
      </c>
      <c r="W20" s="8">
        <f t="shared" si="1"/>
        <v>0</v>
      </c>
      <c r="X20">
        <f t="shared" si="2"/>
        <v>3995.98</v>
      </c>
      <c r="Y20">
        <f t="shared" si="3"/>
        <v>1362.7800000000002</v>
      </c>
      <c r="Z20" s="8">
        <f t="shared" si="4"/>
        <v>0.34103774293164635</v>
      </c>
      <c r="AA20" t="str">
        <f t="shared" si="5"/>
        <v>July</v>
      </c>
      <c r="AB20">
        <f t="shared" si="6"/>
        <v>2025</v>
      </c>
      <c r="AC20" t="str">
        <f t="shared" si="7"/>
        <v>Clean</v>
      </c>
    </row>
    <row r="21" spans="1:29">
      <c r="A21" t="s">
        <v>139</v>
      </c>
      <c r="B21" s="2">
        <v>45500</v>
      </c>
      <c r="C21" s="2">
        <v>45504</v>
      </c>
      <c r="D21" s="3">
        <f t="shared" si="0"/>
        <v>4</v>
      </c>
      <c r="E21" t="s">
        <v>140</v>
      </c>
      <c r="F21" t="s">
        <v>141</v>
      </c>
      <c r="G21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 s="7">
        <v>-0.19</v>
      </c>
      <c r="R21">
        <v>9331.06</v>
      </c>
      <c r="S21">
        <v>7529.31</v>
      </c>
      <c r="T21">
        <v>1801.75</v>
      </c>
      <c r="U21" t="s">
        <v>32</v>
      </c>
      <c r="V21" t="s">
        <v>33</v>
      </c>
      <c r="W21" s="8">
        <f t="shared" si="1"/>
        <v>-0.19</v>
      </c>
      <c r="X21">
        <f t="shared" si="2"/>
        <v>13879.9458</v>
      </c>
      <c r="Y21">
        <f t="shared" si="3"/>
        <v>6350.6357999999991</v>
      </c>
      <c r="Z21" s="8">
        <f t="shared" si="4"/>
        <v>0.45754038895454474</v>
      </c>
      <c r="AA21" t="str">
        <f t="shared" si="5"/>
        <v>July</v>
      </c>
      <c r="AB21">
        <f t="shared" si="6"/>
        <v>2024</v>
      </c>
      <c r="AC21" t="str">
        <f t="shared" si="7"/>
        <v>Invalid</v>
      </c>
    </row>
    <row r="22" spans="1:29">
      <c r="A22" t="s">
        <v>143</v>
      </c>
      <c r="B22" s="2">
        <v>45678</v>
      </c>
      <c r="C22" s="2">
        <v>45680</v>
      </c>
      <c r="D22" s="3">
        <f t="shared" si="0"/>
        <v>2</v>
      </c>
      <c r="E22" t="s">
        <v>144</v>
      </c>
      <c r="F22" t="s">
        <v>89</v>
      </c>
      <c r="G22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 s="6">
        <v>0.25</v>
      </c>
      <c r="R22">
        <v>16398.98</v>
      </c>
      <c r="S22">
        <v>9556.52</v>
      </c>
      <c r="T22">
        <v>6842.46</v>
      </c>
      <c r="U22" t="s">
        <v>32</v>
      </c>
      <c r="V22" t="s">
        <v>33</v>
      </c>
      <c r="W22" s="8">
        <f t="shared" si="1"/>
        <v>0.25</v>
      </c>
      <c r="X22">
        <f t="shared" si="2"/>
        <v>16398.975000000002</v>
      </c>
      <c r="Y22">
        <f t="shared" si="3"/>
        <v>6842.4550000000017</v>
      </c>
      <c r="Z22" s="8">
        <f t="shared" si="4"/>
        <v>0.4172489439126531</v>
      </c>
      <c r="AA22" t="str">
        <f t="shared" si="5"/>
        <v>January</v>
      </c>
      <c r="AB22">
        <f t="shared" si="6"/>
        <v>2025</v>
      </c>
      <c r="AC22" t="str">
        <f t="shared" si="7"/>
        <v>Clean</v>
      </c>
    </row>
    <row r="23" spans="1:29">
      <c r="A23" t="s">
        <v>148</v>
      </c>
      <c r="B23" s="2">
        <v>45681</v>
      </c>
      <c r="C23" s="2">
        <v>45687</v>
      </c>
      <c r="D23" s="3">
        <f t="shared" si="0"/>
        <v>6</v>
      </c>
      <c r="E23" t="s">
        <v>149</v>
      </c>
      <c r="F23" t="s">
        <v>132</v>
      </c>
      <c r="G23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 s="7">
        <v>-0.23</v>
      </c>
      <c r="R23">
        <v>2790.76</v>
      </c>
      <c r="S23">
        <v>2037.71</v>
      </c>
      <c r="T23">
        <v>753.05</v>
      </c>
      <c r="U23" t="s">
        <v>32</v>
      </c>
      <c r="V23" t="s">
        <v>33</v>
      </c>
      <c r="W23" s="8">
        <f t="shared" si="1"/>
        <v>-0.23</v>
      </c>
      <c r="X23">
        <f t="shared" si="2"/>
        <v>3432.6348000000003</v>
      </c>
      <c r="Y23">
        <f t="shared" si="3"/>
        <v>1394.9248000000002</v>
      </c>
      <c r="Z23" s="8">
        <f t="shared" si="4"/>
        <v>0.40637145553613807</v>
      </c>
      <c r="AA23" t="str">
        <f t="shared" si="5"/>
        <v>January</v>
      </c>
      <c r="AB23">
        <f t="shared" si="6"/>
        <v>2025</v>
      </c>
      <c r="AC23" t="str">
        <f t="shared" si="7"/>
        <v>Invalid</v>
      </c>
    </row>
    <row r="24" spans="1:29">
      <c r="A24" t="s">
        <v>151</v>
      </c>
      <c r="B24" s="2">
        <v>45676</v>
      </c>
      <c r="C24" s="2">
        <v>45678</v>
      </c>
      <c r="D24" s="3">
        <f t="shared" si="0"/>
        <v>2</v>
      </c>
      <c r="E24" t="s">
        <v>152</v>
      </c>
      <c r="F24" t="s">
        <v>36</v>
      </c>
      <c r="G24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 s="6">
        <v>0.15</v>
      </c>
      <c r="R24">
        <v>8291.51</v>
      </c>
      <c r="S24">
        <v>6685.03</v>
      </c>
      <c r="T24">
        <v>1606.48</v>
      </c>
      <c r="U24" t="s">
        <v>155</v>
      </c>
      <c r="V24" t="s">
        <v>103</v>
      </c>
      <c r="W24" s="8">
        <f t="shared" si="1"/>
        <v>0.15</v>
      </c>
      <c r="X24">
        <f t="shared" si="2"/>
        <v>8291.5119999999988</v>
      </c>
      <c r="Y24">
        <f t="shared" si="3"/>
        <v>1606.4819999999991</v>
      </c>
      <c r="Z24" s="8">
        <f t="shared" si="4"/>
        <v>0.19375018693816029</v>
      </c>
      <c r="AA24" t="str">
        <f t="shared" si="5"/>
        <v>January</v>
      </c>
      <c r="AB24">
        <f t="shared" si="6"/>
        <v>2025</v>
      </c>
      <c r="AC24" t="str">
        <f t="shared" si="7"/>
        <v>Clean</v>
      </c>
    </row>
    <row r="25" spans="1:29">
      <c r="A25" t="s">
        <v>156</v>
      </c>
      <c r="B25" s="2">
        <v>45898</v>
      </c>
      <c r="C25" s="2">
        <v>45900</v>
      </c>
      <c r="D25" s="3">
        <f t="shared" si="0"/>
        <v>2</v>
      </c>
      <c r="E25" t="s">
        <v>157</v>
      </c>
      <c r="F25" t="s">
        <v>118</v>
      </c>
      <c r="G2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 s="6">
        <v>0.2</v>
      </c>
      <c r="R25">
        <v>6265.63</v>
      </c>
      <c r="S25">
        <v>4321.8599999999997</v>
      </c>
      <c r="T25">
        <v>1943.77</v>
      </c>
      <c r="U25" t="s">
        <v>32</v>
      </c>
      <c r="V25" t="s">
        <v>33</v>
      </c>
      <c r="W25" s="8">
        <f t="shared" si="1"/>
        <v>0.2</v>
      </c>
      <c r="X25">
        <f t="shared" si="2"/>
        <v>6265.6320000000005</v>
      </c>
      <c r="Y25">
        <f t="shared" si="3"/>
        <v>1943.7720000000008</v>
      </c>
      <c r="Z25" s="8">
        <f t="shared" si="4"/>
        <v>0.31022760353624351</v>
      </c>
      <c r="AA25" t="str">
        <f t="shared" si="5"/>
        <v>August</v>
      </c>
      <c r="AB25">
        <f t="shared" si="6"/>
        <v>2025</v>
      </c>
      <c r="AC25" t="str">
        <f t="shared" si="7"/>
        <v>Clean</v>
      </c>
    </row>
    <row r="26" spans="1:29">
      <c r="A26" t="s">
        <v>160</v>
      </c>
      <c r="B26" s="2">
        <v>45355</v>
      </c>
      <c r="C26" s="2">
        <v>45352</v>
      </c>
      <c r="D26" s="5">
        <f t="shared" si="0"/>
        <v>-3</v>
      </c>
      <c r="E26" t="s">
        <v>161</v>
      </c>
      <c r="F26" t="s">
        <v>162</v>
      </c>
      <c r="G26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 s="6">
        <v>0.25</v>
      </c>
      <c r="R26">
        <v>13478.82</v>
      </c>
      <c r="S26">
        <v>10937.35</v>
      </c>
      <c r="T26">
        <v>2541.4699999999998</v>
      </c>
      <c r="U26" t="s">
        <v>111</v>
      </c>
      <c r="V26" t="s">
        <v>68</v>
      </c>
      <c r="W26" s="8">
        <f t="shared" si="1"/>
        <v>0.25</v>
      </c>
      <c r="X26">
        <f t="shared" si="2"/>
        <v>13478.82</v>
      </c>
      <c r="Y26">
        <f t="shared" si="3"/>
        <v>2541.4699999999993</v>
      </c>
      <c r="Z26" s="8">
        <f t="shared" si="4"/>
        <v>0.18855285551702591</v>
      </c>
      <c r="AA26" t="str">
        <f t="shared" si="5"/>
        <v>March</v>
      </c>
      <c r="AB26">
        <f t="shared" si="6"/>
        <v>2024</v>
      </c>
      <c r="AC26" t="str">
        <f t="shared" si="7"/>
        <v>Warning</v>
      </c>
    </row>
    <row r="27" spans="1:29">
      <c r="A27" t="s">
        <v>164</v>
      </c>
      <c r="B27" s="2">
        <v>45606</v>
      </c>
      <c r="C27" s="2">
        <v>45584</v>
      </c>
      <c r="D27" s="5">
        <f t="shared" si="0"/>
        <v>-22</v>
      </c>
      <c r="E27" t="s">
        <v>165</v>
      </c>
      <c r="F27" t="s">
        <v>53</v>
      </c>
      <c r="G27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 s="6">
        <v>0.15</v>
      </c>
      <c r="R27">
        <v>7335.84</v>
      </c>
      <c r="S27">
        <v>4968.41</v>
      </c>
      <c r="T27">
        <v>2367.4299999999998</v>
      </c>
      <c r="U27" t="s">
        <v>32</v>
      </c>
      <c r="V27" t="s">
        <v>33</v>
      </c>
      <c r="W27" s="8">
        <f t="shared" si="1"/>
        <v>0.15</v>
      </c>
      <c r="X27">
        <f t="shared" si="2"/>
        <v>7335.8399999999992</v>
      </c>
      <c r="Y27">
        <f t="shared" si="3"/>
        <v>2367.4299999999994</v>
      </c>
      <c r="Z27" s="8">
        <f t="shared" si="4"/>
        <v>0.32272105171323251</v>
      </c>
      <c r="AA27" t="str">
        <f t="shared" si="5"/>
        <v>November</v>
      </c>
      <c r="AB27">
        <f t="shared" si="6"/>
        <v>2024</v>
      </c>
      <c r="AC27" t="str">
        <f t="shared" si="7"/>
        <v>Warning</v>
      </c>
    </row>
    <row r="28" spans="1:29">
      <c r="A28" t="s">
        <v>169</v>
      </c>
      <c r="B28" s="2">
        <v>45619</v>
      </c>
      <c r="C28" s="2">
        <v>45619</v>
      </c>
      <c r="D28" s="3">
        <f t="shared" si="0"/>
        <v>0</v>
      </c>
      <c r="E28" t="s">
        <v>170</v>
      </c>
      <c r="F28" t="s">
        <v>162</v>
      </c>
      <c r="G28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 s="6">
        <v>0.1</v>
      </c>
      <c r="R28">
        <v>2578.0700000000002</v>
      </c>
      <c r="S28">
        <v>1527.55</v>
      </c>
      <c r="T28">
        <v>1050.52</v>
      </c>
      <c r="U28" t="s">
        <v>32</v>
      </c>
      <c r="V28" t="s">
        <v>103</v>
      </c>
      <c r="W28" s="8">
        <f t="shared" si="1"/>
        <v>0.1</v>
      </c>
      <c r="X28">
        <f t="shared" si="2"/>
        <v>2578.0680000000002</v>
      </c>
      <c r="Y28">
        <f t="shared" si="3"/>
        <v>1050.5180000000003</v>
      </c>
      <c r="Z28" s="8">
        <f t="shared" si="4"/>
        <v>0.40748265755596835</v>
      </c>
      <c r="AA28" t="str">
        <f t="shared" si="5"/>
        <v>November</v>
      </c>
      <c r="AB28">
        <f t="shared" si="6"/>
        <v>2024</v>
      </c>
      <c r="AC28" t="str">
        <f t="shared" si="7"/>
        <v>Clean</v>
      </c>
    </row>
    <row r="29" spans="1:29">
      <c r="A29" t="s">
        <v>173</v>
      </c>
      <c r="B29" s="2">
        <v>45929</v>
      </c>
      <c r="C29" s="2">
        <v>45787</v>
      </c>
      <c r="D29" s="5">
        <f t="shared" si="0"/>
        <v>-142</v>
      </c>
      <c r="E29" t="s">
        <v>174</v>
      </c>
      <c r="F29" t="s">
        <v>53</v>
      </c>
      <c r="G29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 s="6">
        <v>0.25</v>
      </c>
      <c r="R29">
        <v>6774.41</v>
      </c>
      <c r="S29">
        <v>4710.3599999999997</v>
      </c>
      <c r="T29">
        <v>2064.0500000000002</v>
      </c>
      <c r="U29" t="s">
        <v>155</v>
      </c>
      <c r="V29" t="s">
        <v>103</v>
      </c>
      <c r="W29" s="8">
        <f t="shared" si="1"/>
        <v>0.25</v>
      </c>
      <c r="X29">
        <f t="shared" si="2"/>
        <v>6774.4124999999995</v>
      </c>
      <c r="Y29">
        <f t="shared" si="3"/>
        <v>2064.0524999999998</v>
      </c>
      <c r="Z29" s="8">
        <f t="shared" si="4"/>
        <v>0.30468361647596748</v>
      </c>
      <c r="AA29" t="str">
        <f t="shared" si="5"/>
        <v>September</v>
      </c>
      <c r="AB29">
        <f t="shared" si="6"/>
        <v>2025</v>
      </c>
      <c r="AC29" t="str">
        <f t="shared" si="7"/>
        <v>Warning</v>
      </c>
    </row>
    <row r="30" spans="1:29">
      <c r="A30" t="s">
        <v>178</v>
      </c>
      <c r="B30" s="2">
        <v>45606</v>
      </c>
      <c r="C30" s="2">
        <v>45583</v>
      </c>
      <c r="D30" s="5">
        <f t="shared" si="0"/>
        <v>-23</v>
      </c>
      <c r="E30" t="s">
        <v>179</v>
      </c>
      <c r="F30" t="s">
        <v>62</v>
      </c>
      <c r="G30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 s="6">
        <v>0.25</v>
      </c>
      <c r="R30">
        <v>2913.33</v>
      </c>
      <c r="S30">
        <v>2122.33</v>
      </c>
      <c r="T30">
        <v>791</v>
      </c>
      <c r="U30" t="s">
        <v>102</v>
      </c>
      <c r="V30" t="s">
        <v>68</v>
      </c>
      <c r="W30" s="8">
        <f t="shared" si="1"/>
        <v>0.25</v>
      </c>
      <c r="X30">
        <f t="shared" si="2"/>
        <v>2913.33</v>
      </c>
      <c r="Y30">
        <f t="shared" si="3"/>
        <v>791</v>
      </c>
      <c r="Z30" s="8">
        <f t="shared" si="4"/>
        <v>0.27151060813570727</v>
      </c>
      <c r="AA30" t="str">
        <f t="shared" si="5"/>
        <v>November</v>
      </c>
      <c r="AB30">
        <f t="shared" si="6"/>
        <v>2024</v>
      </c>
      <c r="AC30" t="str">
        <f t="shared" si="7"/>
        <v>Warning</v>
      </c>
    </row>
    <row r="31" spans="1:29">
      <c r="A31" t="s">
        <v>183</v>
      </c>
      <c r="B31" s="2">
        <v>45882</v>
      </c>
      <c r="C31" s="2">
        <v>45882</v>
      </c>
      <c r="D31" s="3">
        <f t="shared" si="0"/>
        <v>0</v>
      </c>
      <c r="E31" t="s">
        <v>184</v>
      </c>
      <c r="F31" t="s">
        <v>141</v>
      </c>
      <c r="G31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 s="6">
        <v>0.15</v>
      </c>
      <c r="R31">
        <v>217.61</v>
      </c>
      <c r="S31">
        <v>119.77</v>
      </c>
      <c r="T31">
        <v>97.84</v>
      </c>
      <c r="U31" t="s">
        <v>32</v>
      </c>
      <c r="V31" t="s">
        <v>33</v>
      </c>
      <c r="W31" s="8">
        <f t="shared" si="1"/>
        <v>0.15</v>
      </c>
      <c r="X31">
        <f t="shared" si="2"/>
        <v>217.60849999999999</v>
      </c>
      <c r="Y31">
        <f t="shared" si="3"/>
        <v>97.838499999999996</v>
      </c>
      <c r="Z31" s="8">
        <f t="shared" si="4"/>
        <v>0.44960789675035673</v>
      </c>
      <c r="AA31" t="str">
        <f t="shared" si="5"/>
        <v>August</v>
      </c>
      <c r="AB31">
        <f t="shared" si="6"/>
        <v>2025</v>
      </c>
      <c r="AC31" t="str">
        <f t="shared" si="7"/>
        <v>Clean</v>
      </c>
    </row>
    <row r="32" spans="1:29">
      <c r="A32" t="s">
        <v>188</v>
      </c>
      <c r="B32" s="2">
        <v>45331</v>
      </c>
      <c r="C32" s="2">
        <v>45334</v>
      </c>
      <c r="D32" s="3">
        <f t="shared" si="0"/>
        <v>3</v>
      </c>
      <c r="E32" t="s">
        <v>189</v>
      </c>
      <c r="F32" t="s">
        <v>62</v>
      </c>
      <c r="G32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 s="6">
        <v>0.1</v>
      </c>
      <c r="R32">
        <v>3079.59</v>
      </c>
      <c r="S32">
        <v>2001.89</v>
      </c>
      <c r="T32">
        <v>1077.7</v>
      </c>
      <c r="U32" t="s">
        <v>32</v>
      </c>
      <c r="V32" t="s">
        <v>33</v>
      </c>
      <c r="W32" s="8">
        <f t="shared" si="1"/>
        <v>0.1</v>
      </c>
      <c r="X32">
        <f t="shared" si="2"/>
        <v>3079.5929999999998</v>
      </c>
      <c r="Y32">
        <f t="shared" si="3"/>
        <v>1077.7029999999997</v>
      </c>
      <c r="Z32" s="8">
        <f t="shared" si="4"/>
        <v>0.34994981479695525</v>
      </c>
      <c r="AA32" t="str">
        <f t="shared" si="5"/>
        <v>February</v>
      </c>
      <c r="AB32">
        <f t="shared" si="6"/>
        <v>2024</v>
      </c>
      <c r="AC32" t="str">
        <f t="shared" si="7"/>
        <v>Clean</v>
      </c>
    </row>
    <row r="33" spans="1:29">
      <c r="A33" t="s">
        <v>193</v>
      </c>
      <c r="B33" s="2">
        <v>45823</v>
      </c>
      <c r="C33" s="2">
        <v>45827</v>
      </c>
      <c r="D33" s="3">
        <f t="shared" si="0"/>
        <v>4</v>
      </c>
      <c r="E33" t="s">
        <v>194</v>
      </c>
      <c r="F33" t="s">
        <v>23</v>
      </c>
      <c r="G33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 s="7">
        <v>0</v>
      </c>
      <c r="R33">
        <v>27832.95</v>
      </c>
      <c r="S33">
        <v>17769.75</v>
      </c>
      <c r="T33">
        <v>10063.200000000001</v>
      </c>
      <c r="U33" t="s">
        <v>155</v>
      </c>
      <c r="V33" t="s">
        <v>103</v>
      </c>
      <c r="W33" s="8">
        <f t="shared" si="1"/>
        <v>0</v>
      </c>
      <c r="X33">
        <f t="shared" si="2"/>
        <v>27832.95</v>
      </c>
      <c r="Y33">
        <f t="shared" si="3"/>
        <v>10063.200000000001</v>
      </c>
      <c r="Z33" s="8">
        <f t="shared" si="4"/>
        <v>0.36155707533696574</v>
      </c>
      <c r="AA33" t="str">
        <f t="shared" si="5"/>
        <v>June</v>
      </c>
      <c r="AB33">
        <f t="shared" si="6"/>
        <v>2025</v>
      </c>
      <c r="AC33" t="str">
        <f t="shared" si="7"/>
        <v>Clean</v>
      </c>
    </row>
    <row r="34" spans="1:29">
      <c r="A34" t="s">
        <v>196</v>
      </c>
      <c r="B34" s="2">
        <v>45618</v>
      </c>
      <c r="C34" s="2">
        <v>45622</v>
      </c>
      <c r="D34" s="3">
        <f t="shared" si="0"/>
        <v>4</v>
      </c>
      <c r="E34" t="s">
        <v>197</v>
      </c>
      <c r="F34" t="s">
        <v>128</v>
      </c>
      <c r="G34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Q34" s="7">
        <v>0</v>
      </c>
      <c r="R34">
        <v>9002.81</v>
      </c>
      <c r="S34">
        <v>7529.92</v>
      </c>
      <c r="T34">
        <v>1472.89</v>
      </c>
      <c r="U34" t="s">
        <v>32</v>
      </c>
      <c r="V34" t="s">
        <v>33</v>
      </c>
      <c r="W34" s="8">
        <f t="shared" si="1"/>
        <v>0</v>
      </c>
      <c r="X34">
        <f t="shared" si="2"/>
        <v>12003.75</v>
      </c>
      <c r="Y34">
        <f t="shared" si="3"/>
        <v>4473.83</v>
      </c>
      <c r="Z34" s="8">
        <f t="shared" si="4"/>
        <v>0.37270269707383108</v>
      </c>
      <c r="AA34" t="str">
        <f t="shared" si="5"/>
        <v>November</v>
      </c>
      <c r="AB34">
        <f t="shared" si="6"/>
        <v>2024</v>
      </c>
      <c r="AC34" t="str">
        <f t="shared" si="7"/>
        <v>Clean</v>
      </c>
    </row>
    <row r="35" spans="1:29">
      <c r="A35" t="s">
        <v>199</v>
      </c>
      <c r="B35" s="2">
        <v>45495</v>
      </c>
      <c r="C35" s="2">
        <v>45500</v>
      </c>
      <c r="D35" s="3">
        <f t="shared" si="0"/>
        <v>5</v>
      </c>
      <c r="E35" t="s">
        <v>200</v>
      </c>
      <c r="F35" t="s">
        <v>114</v>
      </c>
      <c r="G3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 s="6">
        <v>0.25</v>
      </c>
      <c r="R35">
        <v>2585.15</v>
      </c>
      <c r="S35">
        <v>2070.73</v>
      </c>
      <c r="T35">
        <v>514.41999999999996</v>
      </c>
      <c r="U35" t="s">
        <v>32</v>
      </c>
      <c r="V35" t="s">
        <v>33</v>
      </c>
      <c r="W35" s="8">
        <f t="shared" si="1"/>
        <v>0.25</v>
      </c>
      <c r="X35">
        <f t="shared" si="2"/>
        <v>2585.1525000000001</v>
      </c>
      <c r="Y35">
        <f t="shared" si="3"/>
        <v>514.42250000000013</v>
      </c>
      <c r="Z35" s="8">
        <f t="shared" si="4"/>
        <v>0.19899116203009304</v>
      </c>
      <c r="AA35" t="str">
        <f t="shared" si="5"/>
        <v>July</v>
      </c>
      <c r="AB35">
        <f t="shared" si="6"/>
        <v>2024</v>
      </c>
      <c r="AC35" t="str">
        <f t="shared" si="7"/>
        <v>Clean</v>
      </c>
    </row>
    <row r="36" spans="1:29">
      <c r="A36" t="s">
        <v>202</v>
      </c>
      <c r="B36" s="2">
        <v>45688</v>
      </c>
      <c r="C36" s="2">
        <v>45693</v>
      </c>
      <c r="D36" s="3">
        <f t="shared" si="0"/>
        <v>5</v>
      </c>
      <c r="E36" t="s">
        <v>203</v>
      </c>
      <c r="F36" t="s">
        <v>114</v>
      </c>
      <c r="G36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N36" s="4" t="s">
        <v>2760</v>
      </c>
      <c r="O36">
        <v>2</v>
      </c>
      <c r="P36">
        <v>4159.6899999999996</v>
      </c>
      <c r="Q36" s="6">
        <v>0.2</v>
      </c>
      <c r="R36">
        <v>6655.5</v>
      </c>
      <c r="S36">
        <v>4340.21</v>
      </c>
      <c r="T36">
        <v>2607.3200000000002</v>
      </c>
      <c r="U36" t="s">
        <v>32</v>
      </c>
      <c r="V36" t="s">
        <v>33</v>
      </c>
      <c r="W36" s="8">
        <f t="shared" si="1"/>
        <v>0.2</v>
      </c>
      <c r="X36">
        <f t="shared" si="2"/>
        <v>6655.5039999999999</v>
      </c>
      <c r="Y36">
        <f t="shared" si="3"/>
        <v>2315.2939999999999</v>
      </c>
      <c r="Z36" s="8">
        <f t="shared" si="4"/>
        <v>0.34787658455317583</v>
      </c>
      <c r="AA36" t="str">
        <f t="shared" si="5"/>
        <v>January</v>
      </c>
      <c r="AB36">
        <f t="shared" si="6"/>
        <v>2025</v>
      </c>
      <c r="AC36" t="str">
        <f t="shared" si="7"/>
        <v>Clean</v>
      </c>
    </row>
    <row r="37" spans="1:29">
      <c r="A37" t="s">
        <v>205</v>
      </c>
      <c r="B37" s="2">
        <v>45441</v>
      </c>
      <c r="C37" s="2">
        <v>45441</v>
      </c>
      <c r="D37" s="3">
        <f t="shared" si="0"/>
        <v>0</v>
      </c>
      <c r="E37" t="s">
        <v>206</v>
      </c>
      <c r="F37" t="s">
        <v>132</v>
      </c>
      <c r="G37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 s="6">
        <v>0.05</v>
      </c>
      <c r="R37">
        <v>19054.11</v>
      </c>
      <c r="S37">
        <v>15313.83</v>
      </c>
      <c r="T37">
        <v>3740.28</v>
      </c>
      <c r="U37" t="s">
        <v>111</v>
      </c>
      <c r="V37" t="s">
        <v>103</v>
      </c>
      <c r="W37" s="8">
        <f t="shared" si="1"/>
        <v>0.05</v>
      </c>
      <c r="X37">
        <f t="shared" si="2"/>
        <v>19054.111999999997</v>
      </c>
      <c r="Y37">
        <f t="shared" si="3"/>
        <v>3740.2819999999974</v>
      </c>
      <c r="Z37" s="8">
        <f t="shared" si="4"/>
        <v>0.19629789097492437</v>
      </c>
      <c r="AA37" t="str">
        <f t="shared" si="5"/>
        <v>May</v>
      </c>
      <c r="AB37">
        <f t="shared" si="6"/>
        <v>2024</v>
      </c>
      <c r="AC37" t="str">
        <f t="shared" si="7"/>
        <v>Clean</v>
      </c>
    </row>
    <row r="38" spans="1:29">
      <c r="A38" t="s">
        <v>208</v>
      </c>
      <c r="B38" s="2">
        <v>45590</v>
      </c>
      <c r="C38" s="2">
        <v>45593</v>
      </c>
      <c r="D38" s="3">
        <f t="shared" si="0"/>
        <v>3</v>
      </c>
      <c r="E38" t="s">
        <v>209</v>
      </c>
      <c r="F38" t="s">
        <v>141</v>
      </c>
      <c r="G38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 s="7">
        <v>0</v>
      </c>
      <c r="R38">
        <v>9379.41</v>
      </c>
      <c r="S38">
        <v>6670.85</v>
      </c>
      <c r="T38">
        <v>2708.56</v>
      </c>
      <c r="U38" t="s">
        <v>32</v>
      </c>
      <c r="V38" t="s">
        <v>103</v>
      </c>
      <c r="W38" s="8">
        <f t="shared" si="1"/>
        <v>0</v>
      </c>
      <c r="X38">
        <f t="shared" si="2"/>
        <v>9379.41</v>
      </c>
      <c r="Y38">
        <f t="shared" si="3"/>
        <v>2708.5599999999995</v>
      </c>
      <c r="Z38" s="8">
        <f t="shared" si="4"/>
        <v>0.28877722585962223</v>
      </c>
      <c r="AA38" t="str">
        <f t="shared" si="5"/>
        <v>October</v>
      </c>
      <c r="AB38">
        <f t="shared" si="6"/>
        <v>2024</v>
      </c>
      <c r="AC38" t="str">
        <f t="shared" si="7"/>
        <v>Clean</v>
      </c>
    </row>
    <row r="39" spans="1:29">
      <c r="A39" t="s">
        <v>211</v>
      </c>
      <c r="B39" s="2">
        <v>45867</v>
      </c>
      <c r="C39" s="2">
        <v>45867</v>
      </c>
      <c r="D39" s="3">
        <f t="shared" si="0"/>
        <v>0</v>
      </c>
      <c r="E39" t="s">
        <v>212</v>
      </c>
      <c r="F39" t="s">
        <v>162</v>
      </c>
      <c r="G39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59</v>
      </c>
      <c r="O39">
        <v>4</v>
      </c>
      <c r="P39">
        <v>1327.54</v>
      </c>
      <c r="Q39" s="6">
        <v>0.2</v>
      </c>
      <c r="R39">
        <v>4248.13</v>
      </c>
      <c r="S39">
        <v>3321.09</v>
      </c>
      <c r="T39">
        <v>927.04</v>
      </c>
      <c r="U39" t="s">
        <v>32</v>
      </c>
      <c r="V39" t="s">
        <v>33</v>
      </c>
      <c r="W39" s="8">
        <f t="shared" si="1"/>
        <v>0.2</v>
      </c>
      <c r="X39">
        <f t="shared" si="2"/>
        <v>4248.1279999999997</v>
      </c>
      <c r="Y39">
        <f t="shared" si="3"/>
        <v>927.03799999999956</v>
      </c>
      <c r="Z39" s="8">
        <f t="shared" si="4"/>
        <v>0.21822270892025844</v>
      </c>
      <c r="AA39" t="str">
        <f t="shared" si="5"/>
        <v>July</v>
      </c>
      <c r="AB39">
        <f t="shared" si="6"/>
        <v>2025</v>
      </c>
      <c r="AC39" t="str">
        <f t="shared" si="7"/>
        <v>Clean</v>
      </c>
    </row>
    <row r="40" spans="1:29">
      <c r="A40" t="s">
        <v>214</v>
      </c>
      <c r="B40" s="2">
        <v>45460</v>
      </c>
      <c r="C40" s="2">
        <v>45465</v>
      </c>
      <c r="D40" s="3">
        <f t="shared" si="0"/>
        <v>5</v>
      </c>
      <c r="E40" t="s">
        <v>215</v>
      </c>
      <c r="F40" t="s">
        <v>128</v>
      </c>
      <c r="G40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216</v>
      </c>
      <c r="N40" t="s">
        <v>50</v>
      </c>
      <c r="O40">
        <v>7</v>
      </c>
      <c r="P40">
        <v>2210.6799999999998</v>
      </c>
      <c r="Q40" s="6">
        <v>0.1</v>
      </c>
      <c r="R40">
        <v>13927.28</v>
      </c>
      <c r="S40">
        <v>10504.87</v>
      </c>
      <c r="T40">
        <v>3422.41</v>
      </c>
      <c r="U40" t="s">
        <v>32</v>
      </c>
      <c r="V40" t="s">
        <v>33</v>
      </c>
      <c r="W40" s="8">
        <f t="shared" si="1"/>
        <v>0.1</v>
      </c>
      <c r="X40">
        <f t="shared" si="2"/>
        <v>13927.284</v>
      </c>
      <c r="Y40">
        <f t="shared" si="3"/>
        <v>3422.4139999999989</v>
      </c>
      <c r="Z40" s="8">
        <f t="shared" si="4"/>
        <v>0.24573448778670692</v>
      </c>
      <c r="AA40" t="str">
        <f t="shared" si="5"/>
        <v>June</v>
      </c>
      <c r="AB40">
        <f t="shared" si="6"/>
        <v>2024</v>
      </c>
      <c r="AC40" t="str">
        <f t="shared" si="7"/>
        <v>Clean</v>
      </c>
    </row>
    <row r="41" spans="1:29">
      <c r="A41" t="s">
        <v>217</v>
      </c>
      <c r="B41" s="2">
        <v>45637</v>
      </c>
      <c r="C41" s="2">
        <v>45637</v>
      </c>
      <c r="D41" s="3">
        <f t="shared" si="0"/>
        <v>0</v>
      </c>
      <c r="E41" t="s">
        <v>218</v>
      </c>
      <c r="F41" t="s">
        <v>36</v>
      </c>
      <c r="G41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219</v>
      </c>
      <c r="N41" t="s">
        <v>50</v>
      </c>
      <c r="O41">
        <v>4</v>
      </c>
      <c r="P41">
        <v>1370.92</v>
      </c>
      <c r="Q41" s="6">
        <v>0.1</v>
      </c>
      <c r="R41">
        <v>4935.3100000000004</v>
      </c>
      <c r="S41">
        <v>3374.77</v>
      </c>
      <c r="T41">
        <v>1560.54</v>
      </c>
      <c r="U41" t="s">
        <v>111</v>
      </c>
      <c r="V41" t="s">
        <v>103</v>
      </c>
      <c r="W41" s="8">
        <f t="shared" si="1"/>
        <v>0.1</v>
      </c>
      <c r="X41">
        <f t="shared" si="2"/>
        <v>4935.3120000000008</v>
      </c>
      <c r="Y41">
        <f t="shared" si="3"/>
        <v>1560.5420000000008</v>
      </c>
      <c r="Z41" s="8">
        <f t="shared" si="4"/>
        <v>0.31619925954022776</v>
      </c>
      <c r="AA41" t="str">
        <f t="shared" si="5"/>
        <v>December</v>
      </c>
      <c r="AB41">
        <f t="shared" si="6"/>
        <v>2024</v>
      </c>
      <c r="AC41" t="str">
        <f t="shared" si="7"/>
        <v>Clean</v>
      </c>
    </row>
    <row r="42" spans="1:29">
      <c r="A42" t="s">
        <v>220</v>
      </c>
      <c r="B42" s="2">
        <v>45575</v>
      </c>
      <c r="C42" s="2">
        <v>45581</v>
      </c>
      <c r="D42" s="3">
        <f t="shared" si="0"/>
        <v>6</v>
      </c>
      <c r="E42" t="s">
        <v>221</v>
      </c>
      <c r="F42" t="s">
        <v>47</v>
      </c>
      <c r="G42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222</v>
      </c>
      <c r="N42" t="s">
        <v>59</v>
      </c>
      <c r="O42">
        <v>7</v>
      </c>
      <c r="P42">
        <v>2509.27</v>
      </c>
      <c r="Q42" s="6">
        <v>0.2</v>
      </c>
      <c r="R42">
        <v>14051.91</v>
      </c>
      <c r="S42">
        <v>11990.37</v>
      </c>
      <c r="T42">
        <v>2061.54</v>
      </c>
      <c r="U42" t="s">
        <v>32</v>
      </c>
      <c r="V42" t="s">
        <v>33</v>
      </c>
      <c r="W42" s="8">
        <f t="shared" si="1"/>
        <v>0.2</v>
      </c>
      <c r="X42">
        <f t="shared" si="2"/>
        <v>14051.912</v>
      </c>
      <c r="Y42">
        <f t="shared" si="3"/>
        <v>2061.5419999999995</v>
      </c>
      <c r="Z42" s="8">
        <f t="shared" si="4"/>
        <v>0.14670900301681361</v>
      </c>
      <c r="AA42" t="str">
        <f t="shared" si="5"/>
        <v>October</v>
      </c>
      <c r="AB42">
        <f t="shared" si="6"/>
        <v>2024</v>
      </c>
      <c r="AC42" t="str">
        <f t="shared" si="7"/>
        <v>Clean</v>
      </c>
    </row>
    <row r="43" spans="1:29">
      <c r="A43" t="s">
        <v>223</v>
      </c>
      <c r="B43" s="2">
        <v>45363</v>
      </c>
      <c r="C43" s="2">
        <v>45368</v>
      </c>
      <c r="D43" s="3">
        <f t="shared" si="0"/>
        <v>5</v>
      </c>
      <c r="E43" t="s">
        <v>224</v>
      </c>
      <c r="F43" t="s">
        <v>128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225</v>
      </c>
      <c r="N43" t="s">
        <v>44</v>
      </c>
      <c r="O43">
        <v>8</v>
      </c>
      <c r="P43">
        <v>855.81</v>
      </c>
      <c r="Q43" s="7">
        <v>0</v>
      </c>
      <c r="R43">
        <v>6846.48</v>
      </c>
      <c r="S43">
        <v>4239.8900000000003</v>
      </c>
      <c r="T43">
        <v>2606.59</v>
      </c>
      <c r="U43" t="s">
        <v>111</v>
      </c>
      <c r="V43" t="s">
        <v>68</v>
      </c>
      <c r="W43" s="8">
        <f t="shared" si="1"/>
        <v>0</v>
      </c>
      <c r="X43">
        <f t="shared" si="2"/>
        <v>6846.48</v>
      </c>
      <c r="Y43">
        <f t="shared" si="3"/>
        <v>2606.5899999999992</v>
      </c>
      <c r="Z43" s="8">
        <f t="shared" si="4"/>
        <v>0.38071972750961069</v>
      </c>
      <c r="AA43" t="str">
        <f t="shared" si="5"/>
        <v>March</v>
      </c>
      <c r="AB43">
        <f t="shared" si="6"/>
        <v>2024</v>
      </c>
      <c r="AC43" t="str">
        <f t="shared" si="7"/>
        <v>Clean</v>
      </c>
    </row>
    <row r="44" spans="1:29">
      <c r="A44" t="s">
        <v>226</v>
      </c>
      <c r="B44" s="2">
        <v>45940</v>
      </c>
      <c r="C44" s="2">
        <v>45945</v>
      </c>
      <c r="D44" s="3">
        <f t="shared" si="0"/>
        <v>5</v>
      </c>
      <c r="E44" t="s">
        <v>227</v>
      </c>
      <c r="F44" t="s">
        <v>53</v>
      </c>
      <c r="G44" t="s">
        <v>90</v>
      </c>
      <c r="H44" t="s">
        <v>38</v>
      </c>
      <c r="I44" t="s">
        <v>228</v>
      </c>
      <c r="J44" t="s">
        <v>229</v>
      </c>
      <c r="K44" t="s">
        <v>74</v>
      </c>
      <c r="L44" t="s">
        <v>171</v>
      </c>
      <c r="M44" t="s">
        <v>230</v>
      </c>
      <c r="N44" t="s">
        <v>59</v>
      </c>
      <c r="O44">
        <v>8</v>
      </c>
      <c r="P44">
        <v>979.87</v>
      </c>
      <c r="Q44" s="6">
        <v>0.05</v>
      </c>
      <c r="R44">
        <v>7447.01</v>
      </c>
      <c r="S44">
        <v>4496.22</v>
      </c>
      <c r="T44">
        <v>2950.79</v>
      </c>
      <c r="U44" t="s">
        <v>32</v>
      </c>
      <c r="V44" t="s">
        <v>33</v>
      </c>
      <c r="W44" s="8">
        <f t="shared" si="1"/>
        <v>0.05</v>
      </c>
      <c r="X44">
        <f t="shared" si="2"/>
        <v>7447.0119999999997</v>
      </c>
      <c r="Y44">
        <f t="shared" si="3"/>
        <v>2950.7919999999995</v>
      </c>
      <c r="Z44" s="8">
        <f t="shared" si="4"/>
        <v>0.39623838393170302</v>
      </c>
      <c r="AA44" t="str">
        <f t="shared" si="5"/>
        <v>October</v>
      </c>
      <c r="AB44">
        <f t="shared" si="6"/>
        <v>2025</v>
      </c>
      <c r="AC44" t="str">
        <f t="shared" si="7"/>
        <v>Clean</v>
      </c>
    </row>
    <row r="45" spans="1:29">
      <c r="A45" t="s">
        <v>231</v>
      </c>
      <c r="B45" s="2">
        <v>45481</v>
      </c>
      <c r="C45" s="2">
        <v>45487</v>
      </c>
      <c r="D45" s="3">
        <f t="shared" si="0"/>
        <v>6</v>
      </c>
      <c r="E45" t="s">
        <v>232</v>
      </c>
      <c r="F45" t="s">
        <v>114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233</v>
      </c>
      <c r="N45" t="s">
        <v>44</v>
      </c>
      <c r="O45">
        <v>3</v>
      </c>
      <c r="P45">
        <v>1010.23</v>
      </c>
      <c r="Q45" s="7">
        <v>0</v>
      </c>
      <c r="R45">
        <v>3030.69</v>
      </c>
      <c r="S45">
        <v>1721.08</v>
      </c>
      <c r="T45">
        <v>1309.6099999999999</v>
      </c>
      <c r="U45" t="s">
        <v>32</v>
      </c>
      <c r="V45" t="s">
        <v>33</v>
      </c>
      <c r="W45" s="8">
        <f t="shared" si="1"/>
        <v>0</v>
      </c>
      <c r="X45">
        <f t="shared" si="2"/>
        <v>3030.69</v>
      </c>
      <c r="Y45">
        <f t="shared" si="3"/>
        <v>1309.6100000000001</v>
      </c>
      <c r="Z45" s="8">
        <f t="shared" si="4"/>
        <v>0.43211611877163292</v>
      </c>
      <c r="AA45" t="str">
        <f t="shared" si="5"/>
        <v>July</v>
      </c>
      <c r="AB45">
        <f t="shared" si="6"/>
        <v>2024</v>
      </c>
      <c r="AC45" t="str">
        <f t="shared" si="7"/>
        <v>Clean</v>
      </c>
    </row>
    <row r="46" spans="1:29">
      <c r="A46" t="s">
        <v>234</v>
      </c>
      <c r="B46" s="2">
        <v>45465</v>
      </c>
      <c r="C46" s="2">
        <v>45468</v>
      </c>
      <c r="D46" s="3">
        <f t="shared" si="0"/>
        <v>3</v>
      </c>
      <c r="E46" t="s">
        <v>235</v>
      </c>
      <c r="F46" t="s">
        <v>141</v>
      </c>
      <c r="G46" t="s">
        <v>37</v>
      </c>
      <c r="H46" t="s">
        <v>25</v>
      </c>
      <c r="I46" t="s">
        <v>236</v>
      </c>
      <c r="J46" t="s">
        <v>237</v>
      </c>
      <c r="K46" t="s">
        <v>41</v>
      </c>
      <c r="L46" t="s">
        <v>66</v>
      </c>
      <c r="M46" t="s">
        <v>238</v>
      </c>
      <c r="N46" t="s">
        <v>59</v>
      </c>
      <c r="O46">
        <v>9</v>
      </c>
      <c r="P46">
        <v>3329.77</v>
      </c>
      <c r="Q46" s="6">
        <v>0.1</v>
      </c>
      <c r="R46">
        <v>26971.14</v>
      </c>
      <c r="S46">
        <v>17376.2</v>
      </c>
      <c r="T46">
        <v>9594.94</v>
      </c>
      <c r="U46" t="s">
        <v>32</v>
      </c>
      <c r="V46" t="s">
        <v>33</v>
      </c>
      <c r="W46" s="8">
        <f t="shared" si="1"/>
        <v>0.1</v>
      </c>
      <c r="X46">
        <f t="shared" si="2"/>
        <v>26971.137000000002</v>
      </c>
      <c r="Y46">
        <f t="shared" si="3"/>
        <v>9594.9370000000017</v>
      </c>
      <c r="Z46" s="8">
        <f t="shared" si="4"/>
        <v>0.35574833200394929</v>
      </c>
      <c r="AA46" t="str">
        <f t="shared" si="5"/>
        <v>June</v>
      </c>
      <c r="AB46">
        <f t="shared" si="6"/>
        <v>2024</v>
      </c>
      <c r="AC46" t="str">
        <f t="shared" si="7"/>
        <v>Clean</v>
      </c>
    </row>
    <row r="47" spans="1:29">
      <c r="A47" t="s">
        <v>239</v>
      </c>
      <c r="B47" s="2">
        <v>45309</v>
      </c>
      <c r="C47" s="2">
        <v>45315</v>
      </c>
      <c r="D47" s="3">
        <f t="shared" si="0"/>
        <v>6</v>
      </c>
      <c r="E47" t="s">
        <v>240</v>
      </c>
      <c r="F47" t="s">
        <v>47</v>
      </c>
      <c r="G47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241</v>
      </c>
      <c r="N47" t="s">
        <v>31</v>
      </c>
      <c r="O47">
        <v>8</v>
      </c>
      <c r="P47">
        <v>3927.82</v>
      </c>
      <c r="Q47" s="6">
        <v>0.05</v>
      </c>
      <c r="R47">
        <v>29851.43</v>
      </c>
      <c r="S47">
        <v>17487.48</v>
      </c>
      <c r="T47">
        <v>12363.95</v>
      </c>
      <c r="U47" t="s">
        <v>111</v>
      </c>
      <c r="V47" t="s">
        <v>103</v>
      </c>
      <c r="W47" s="8">
        <f t="shared" si="1"/>
        <v>0.05</v>
      </c>
      <c r="X47">
        <f t="shared" si="2"/>
        <v>29851.432000000001</v>
      </c>
      <c r="Y47">
        <f t="shared" si="3"/>
        <v>12363.952000000001</v>
      </c>
      <c r="Z47" s="8">
        <f t="shared" si="4"/>
        <v>0.41418287739094062</v>
      </c>
      <c r="AA47" t="str">
        <f t="shared" si="5"/>
        <v>January</v>
      </c>
      <c r="AB47">
        <f t="shared" si="6"/>
        <v>2024</v>
      </c>
      <c r="AC47" t="str">
        <f t="shared" si="7"/>
        <v>Clean</v>
      </c>
    </row>
    <row r="48" spans="1:29">
      <c r="A48" t="s">
        <v>242</v>
      </c>
      <c r="B48" s="2">
        <v>45492</v>
      </c>
      <c r="C48" s="2">
        <v>45492</v>
      </c>
      <c r="D48" s="3">
        <f t="shared" si="0"/>
        <v>0</v>
      </c>
      <c r="E48" t="s">
        <v>243</v>
      </c>
      <c r="F48" t="s">
        <v>62</v>
      </c>
      <c r="G48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244</v>
      </c>
      <c r="N48" t="s">
        <v>59</v>
      </c>
      <c r="O48">
        <v>9</v>
      </c>
      <c r="P48">
        <v>2386.79</v>
      </c>
      <c r="Q48" s="6">
        <v>0.25</v>
      </c>
      <c r="R48">
        <v>16110.83</v>
      </c>
      <c r="S48">
        <v>10680.03</v>
      </c>
      <c r="T48">
        <v>5430.8</v>
      </c>
      <c r="U48" t="s">
        <v>102</v>
      </c>
      <c r="V48" t="s">
        <v>103</v>
      </c>
      <c r="W48" s="8">
        <f t="shared" si="1"/>
        <v>0.25</v>
      </c>
      <c r="X48">
        <f t="shared" si="2"/>
        <v>16110.8325</v>
      </c>
      <c r="Y48">
        <f t="shared" si="3"/>
        <v>5430.8024999999998</v>
      </c>
      <c r="Z48" s="8">
        <f t="shared" si="4"/>
        <v>0.33709012243780695</v>
      </c>
      <c r="AA48" t="str">
        <f t="shared" si="5"/>
        <v>July</v>
      </c>
      <c r="AB48">
        <f t="shared" si="6"/>
        <v>2024</v>
      </c>
      <c r="AC48" t="str">
        <f t="shared" si="7"/>
        <v>Clean</v>
      </c>
    </row>
    <row r="49" spans="1:29">
      <c r="A49" t="s">
        <v>245</v>
      </c>
      <c r="B49" s="2">
        <v>45634</v>
      </c>
      <c r="C49" s="2">
        <v>45516</v>
      </c>
      <c r="D49" s="5">
        <f t="shared" si="0"/>
        <v>-118</v>
      </c>
      <c r="E49" t="s">
        <v>246</v>
      </c>
      <c r="F49" t="s">
        <v>118</v>
      </c>
      <c r="G49" t="s">
        <v>90</v>
      </c>
      <c r="H49" t="s">
        <v>54</v>
      </c>
      <c r="I49" t="s">
        <v>247</v>
      </c>
      <c r="J49" t="s">
        <v>248</v>
      </c>
      <c r="K49" t="s">
        <v>28</v>
      </c>
      <c r="L49" t="s">
        <v>124</v>
      </c>
      <c r="M49" t="s">
        <v>249</v>
      </c>
      <c r="N49" t="s">
        <v>59</v>
      </c>
      <c r="O49">
        <v>8</v>
      </c>
      <c r="P49">
        <v>2445.31</v>
      </c>
      <c r="Q49" s="6">
        <v>0.1</v>
      </c>
      <c r="R49">
        <v>17606.23</v>
      </c>
      <c r="S49">
        <v>12438.96</v>
      </c>
      <c r="T49">
        <v>5167.2700000000004</v>
      </c>
      <c r="U49" t="s">
        <v>32</v>
      </c>
      <c r="V49" t="s">
        <v>33</v>
      </c>
      <c r="W49" s="8">
        <f t="shared" si="1"/>
        <v>0.1</v>
      </c>
      <c r="X49">
        <f t="shared" si="2"/>
        <v>17606.232</v>
      </c>
      <c r="Y49">
        <f t="shared" si="3"/>
        <v>5167.2720000000008</v>
      </c>
      <c r="Z49" s="8">
        <f t="shared" si="4"/>
        <v>0.29349107747756592</v>
      </c>
      <c r="AA49" t="str">
        <f t="shared" si="5"/>
        <v>December</v>
      </c>
      <c r="AB49">
        <f t="shared" si="6"/>
        <v>2024</v>
      </c>
      <c r="AC49" t="str">
        <f t="shared" si="7"/>
        <v>Warning</v>
      </c>
    </row>
    <row r="50" spans="1:29">
      <c r="A50" t="s">
        <v>250</v>
      </c>
      <c r="B50" s="2">
        <v>45687</v>
      </c>
      <c r="C50" s="2">
        <v>45693</v>
      </c>
      <c r="D50" s="3">
        <f t="shared" si="0"/>
        <v>6</v>
      </c>
      <c r="E50" t="s">
        <v>251</v>
      </c>
      <c r="F50" t="s">
        <v>79</v>
      </c>
      <c r="G50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252</v>
      </c>
      <c r="N50" t="s">
        <v>31</v>
      </c>
      <c r="O50">
        <v>7</v>
      </c>
      <c r="P50">
        <v>4063.66</v>
      </c>
      <c r="Q50" s="7">
        <v>0</v>
      </c>
      <c r="R50">
        <v>28445.62</v>
      </c>
      <c r="S50">
        <v>20938.59</v>
      </c>
      <c r="T50">
        <v>7507.03</v>
      </c>
      <c r="U50" t="s">
        <v>32</v>
      </c>
      <c r="V50" t="s">
        <v>33</v>
      </c>
      <c r="W50" s="8">
        <f t="shared" si="1"/>
        <v>0</v>
      </c>
      <c r="X50">
        <f t="shared" si="2"/>
        <v>28445.62</v>
      </c>
      <c r="Y50">
        <f t="shared" si="3"/>
        <v>7507.0299999999988</v>
      </c>
      <c r="Z50" s="8">
        <f t="shared" si="4"/>
        <v>0.26390811660986818</v>
      </c>
      <c r="AA50" t="str">
        <f t="shared" si="5"/>
        <v>January</v>
      </c>
      <c r="AB50">
        <f t="shared" si="6"/>
        <v>2025</v>
      </c>
      <c r="AC50" t="str">
        <f t="shared" si="7"/>
        <v>Clean</v>
      </c>
    </row>
    <row r="51" spans="1:29">
      <c r="A51" t="s">
        <v>253</v>
      </c>
      <c r="B51" s="2">
        <v>45388</v>
      </c>
      <c r="C51" s="2">
        <v>45395</v>
      </c>
      <c r="D51" s="3">
        <f t="shared" si="0"/>
        <v>7</v>
      </c>
      <c r="E51" t="s">
        <v>254</v>
      </c>
      <c r="F51" t="s">
        <v>128</v>
      </c>
      <c r="G51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255</v>
      </c>
      <c r="N51" t="s">
        <v>31</v>
      </c>
      <c r="O51">
        <v>9</v>
      </c>
      <c r="P51">
        <v>792.11</v>
      </c>
      <c r="Q51" s="6">
        <v>0.05</v>
      </c>
      <c r="R51">
        <v>6772.54</v>
      </c>
      <c r="S51">
        <v>5755.46</v>
      </c>
      <c r="T51">
        <v>1017.08</v>
      </c>
      <c r="U51" t="s">
        <v>32</v>
      </c>
      <c r="V51" t="s">
        <v>33</v>
      </c>
      <c r="W51" s="8">
        <f t="shared" si="1"/>
        <v>0.05</v>
      </c>
      <c r="X51">
        <f t="shared" si="2"/>
        <v>6772.5404999999992</v>
      </c>
      <c r="Y51">
        <f t="shared" si="3"/>
        <v>1017.0804999999991</v>
      </c>
      <c r="Z51" s="8">
        <f t="shared" si="4"/>
        <v>0.15017710119267641</v>
      </c>
      <c r="AA51" t="str">
        <f t="shared" si="5"/>
        <v>April</v>
      </c>
      <c r="AB51">
        <f t="shared" si="6"/>
        <v>2024</v>
      </c>
      <c r="AC51" t="str">
        <f t="shared" si="7"/>
        <v>Clean</v>
      </c>
    </row>
    <row r="52" spans="1:29">
      <c r="A52" t="s">
        <v>256</v>
      </c>
      <c r="B52" s="2">
        <v>45788</v>
      </c>
      <c r="C52" s="2">
        <v>45796</v>
      </c>
      <c r="D52" s="3">
        <f t="shared" si="0"/>
        <v>8</v>
      </c>
      <c r="E52" t="s">
        <v>257</v>
      </c>
      <c r="F52" t="s">
        <v>132</v>
      </c>
      <c r="G52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258</v>
      </c>
      <c r="N52" t="s">
        <v>59</v>
      </c>
      <c r="O52">
        <v>1</v>
      </c>
      <c r="P52">
        <v>2382.8000000000002</v>
      </c>
      <c r="Q52" s="6">
        <v>0.15</v>
      </c>
      <c r="R52">
        <v>2025.38</v>
      </c>
      <c r="S52">
        <v>1140.6500000000001</v>
      </c>
      <c r="T52">
        <v>884.73</v>
      </c>
      <c r="U52" t="s">
        <v>32</v>
      </c>
      <c r="V52" t="s">
        <v>33</v>
      </c>
      <c r="W52" s="8">
        <f t="shared" si="1"/>
        <v>0.15</v>
      </c>
      <c r="X52">
        <f t="shared" si="2"/>
        <v>2025.38</v>
      </c>
      <c r="Y52">
        <f t="shared" si="3"/>
        <v>884.73</v>
      </c>
      <c r="Z52" s="8">
        <f t="shared" si="4"/>
        <v>0.43682173221815163</v>
      </c>
      <c r="AA52" t="str">
        <f t="shared" si="5"/>
        <v>May</v>
      </c>
      <c r="AB52">
        <f t="shared" si="6"/>
        <v>2025</v>
      </c>
      <c r="AC52" t="str">
        <f t="shared" si="7"/>
        <v>Clean</v>
      </c>
    </row>
    <row r="53" spans="1:29">
      <c r="A53" t="s">
        <v>259</v>
      </c>
      <c r="B53" s="2">
        <v>45406</v>
      </c>
      <c r="C53" s="2">
        <v>45411</v>
      </c>
      <c r="D53" s="3">
        <f t="shared" si="0"/>
        <v>5</v>
      </c>
      <c r="E53" t="s">
        <v>260</v>
      </c>
      <c r="F53" t="s">
        <v>62</v>
      </c>
      <c r="G53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261</v>
      </c>
      <c r="N53" t="s">
        <v>59</v>
      </c>
      <c r="O53">
        <v>6</v>
      </c>
      <c r="P53">
        <v>1528.08</v>
      </c>
      <c r="Q53" s="7">
        <v>0</v>
      </c>
      <c r="R53">
        <v>9168.48</v>
      </c>
      <c r="S53">
        <v>7439.77</v>
      </c>
      <c r="T53">
        <v>1728.71</v>
      </c>
      <c r="U53" t="s">
        <v>32</v>
      </c>
      <c r="V53" t="s">
        <v>33</v>
      </c>
      <c r="W53" s="8">
        <f t="shared" si="1"/>
        <v>0</v>
      </c>
      <c r="X53">
        <f t="shared" si="2"/>
        <v>9168.48</v>
      </c>
      <c r="Y53">
        <f t="shared" si="3"/>
        <v>1728.7099999999991</v>
      </c>
      <c r="Z53" s="8">
        <f t="shared" si="4"/>
        <v>0.18854924698532355</v>
      </c>
      <c r="AA53" t="str">
        <f t="shared" si="5"/>
        <v>April</v>
      </c>
      <c r="AB53">
        <f t="shared" si="6"/>
        <v>2024</v>
      </c>
      <c r="AC53" t="str">
        <f t="shared" si="7"/>
        <v>Clean</v>
      </c>
    </row>
    <row r="54" spans="1:29">
      <c r="A54" t="s">
        <v>262</v>
      </c>
      <c r="B54" s="2">
        <v>45591</v>
      </c>
      <c r="C54" s="2">
        <v>45593</v>
      </c>
      <c r="D54" s="3">
        <f t="shared" si="0"/>
        <v>2</v>
      </c>
      <c r="E54" t="s">
        <v>263</v>
      </c>
      <c r="F54" t="s">
        <v>264</v>
      </c>
      <c r="G54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265</v>
      </c>
      <c r="N54" t="s">
        <v>50</v>
      </c>
      <c r="O54">
        <v>9</v>
      </c>
      <c r="P54">
        <v>1399.63</v>
      </c>
      <c r="Q54" s="7">
        <v>0</v>
      </c>
      <c r="R54">
        <v>12596.67</v>
      </c>
      <c r="S54">
        <v>10603.29</v>
      </c>
      <c r="T54">
        <v>1993.38</v>
      </c>
      <c r="U54" t="s">
        <v>155</v>
      </c>
      <c r="V54" t="s">
        <v>68</v>
      </c>
      <c r="W54" s="8">
        <f t="shared" si="1"/>
        <v>0</v>
      </c>
      <c r="X54">
        <f t="shared" si="2"/>
        <v>12596.670000000002</v>
      </c>
      <c r="Y54">
        <f t="shared" si="3"/>
        <v>1993.380000000001</v>
      </c>
      <c r="Z54" s="8">
        <f t="shared" si="4"/>
        <v>0.15824658421630483</v>
      </c>
      <c r="AA54" t="str">
        <f t="shared" si="5"/>
        <v>October</v>
      </c>
      <c r="AB54">
        <f t="shared" si="6"/>
        <v>2024</v>
      </c>
      <c r="AC54" t="str">
        <f t="shared" si="7"/>
        <v>Clean</v>
      </c>
    </row>
    <row r="55" spans="1:29">
      <c r="A55" t="s">
        <v>266</v>
      </c>
      <c r="B55" s="2">
        <v>45747</v>
      </c>
      <c r="C55" s="2">
        <v>45747</v>
      </c>
      <c r="D55" s="3">
        <f t="shared" si="0"/>
        <v>0</v>
      </c>
      <c r="E55" t="s">
        <v>267</v>
      </c>
      <c r="F55" t="s">
        <v>264</v>
      </c>
      <c r="G5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268</v>
      </c>
      <c r="N55" t="s">
        <v>50</v>
      </c>
      <c r="O55">
        <v>5</v>
      </c>
      <c r="P55">
        <v>1207.47</v>
      </c>
      <c r="Q55" s="6">
        <v>0.15</v>
      </c>
      <c r="R55">
        <v>5131.75</v>
      </c>
      <c r="S55">
        <v>2838.68</v>
      </c>
      <c r="T55">
        <v>2293.0700000000002</v>
      </c>
      <c r="U55" t="s">
        <v>32</v>
      </c>
      <c r="V55" t="s">
        <v>33</v>
      </c>
      <c r="W55" s="8">
        <f t="shared" si="1"/>
        <v>0.15</v>
      </c>
      <c r="X55">
        <f t="shared" si="2"/>
        <v>5131.7475000000004</v>
      </c>
      <c r="Y55">
        <f t="shared" si="3"/>
        <v>2293.0675000000006</v>
      </c>
      <c r="Z55" s="8">
        <f t="shared" si="4"/>
        <v>0.44683950252813498</v>
      </c>
      <c r="AA55" t="str">
        <f t="shared" si="5"/>
        <v>March</v>
      </c>
      <c r="AB55">
        <f t="shared" si="6"/>
        <v>2025</v>
      </c>
      <c r="AC55" t="str">
        <f t="shared" si="7"/>
        <v>Clean</v>
      </c>
    </row>
    <row r="56" spans="1:29">
      <c r="A56" t="s">
        <v>269</v>
      </c>
      <c r="B56" s="2">
        <v>45807</v>
      </c>
      <c r="C56" s="2">
        <v>45810</v>
      </c>
      <c r="D56" s="3">
        <f t="shared" si="0"/>
        <v>3</v>
      </c>
      <c r="E56" t="s">
        <v>270</v>
      </c>
      <c r="F56" t="s">
        <v>53</v>
      </c>
      <c r="G56" t="s">
        <v>90</v>
      </c>
      <c r="H56" t="s">
        <v>54</v>
      </c>
      <c r="I56" t="s">
        <v>247</v>
      </c>
      <c r="J56" t="s">
        <v>248</v>
      </c>
      <c r="K56" t="s">
        <v>28</v>
      </c>
      <c r="L56" t="s">
        <v>91</v>
      </c>
      <c r="M56" t="s">
        <v>271</v>
      </c>
      <c r="N56" t="s">
        <v>44</v>
      </c>
      <c r="O56">
        <v>8</v>
      </c>
      <c r="P56">
        <v>474.37</v>
      </c>
      <c r="Q56" s="6">
        <v>0.1</v>
      </c>
      <c r="R56">
        <v>3415.46</v>
      </c>
      <c r="S56">
        <v>1993.23</v>
      </c>
      <c r="T56">
        <v>1422.23</v>
      </c>
      <c r="U56" t="s">
        <v>155</v>
      </c>
      <c r="V56" t="s">
        <v>68</v>
      </c>
      <c r="W56" s="8">
        <f t="shared" si="1"/>
        <v>0.1</v>
      </c>
      <c r="X56">
        <f t="shared" si="2"/>
        <v>3415.4639999999999</v>
      </c>
      <c r="Y56">
        <f t="shared" si="3"/>
        <v>1422.2339999999999</v>
      </c>
      <c r="Z56" s="8">
        <f t="shared" si="4"/>
        <v>0.4164101861416194</v>
      </c>
      <c r="AA56" t="str">
        <f t="shared" si="5"/>
        <v>May</v>
      </c>
      <c r="AB56">
        <f t="shared" si="6"/>
        <v>2025</v>
      </c>
      <c r="AC56" t="str">
        <f t="shared" si="7"/>
        <v>Clean</v>
      </c>
    </row>
    <row r="57" spans="1:29">
      <c r="A57" t="s">
        <v>272</v>
      </c>
      <c r="B57" s="2">
        <v>45664</v>
      </c>
      <c r="C57" s="2">
        <v>45723</v>
      </c>
      <c r="D57" s="3">
        <f t="shared" si="0"/>
        <v>59</v>
      </c>
      <c r="E57" t="s">
        <v>273</v>
      </c>
      <c r="F57" t="s">
        <v>36</v>
      </c>
      <c r="G57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274</v>
      </c>
      <c r="M57" t="s">
        <v>275</v>
      </c>
      <c r="N57" t="s">
        <v>44</v>
      </c>
      <c r="O57">
        <v>3</v>
      </c>
      <c r="P57">
        <v>1516.24</v>
      </c>
      <c r="Q57" s="6">
        <v>0.25</v>
      </c>
      <c r="R57">
        <v>3411.54</v>
      </c>
      <c r="S57">
        <v>2803.13</v>
      </c>
      <c r="T57">
        <v>608.41</v>
      </c>
      <c r="U57" t="s">
        <v>32</v>
      </c>
      <c r="V57" t="s">
        <v>33</v>
      </c>
      <c r="W57" s="8">
        <f t="shared" si="1"/>
        <v>0.25</v>
      </c>
      <c r="X57">
        <f t="shared" si="2"/>
        <v>3411.54</v>
      </c>
      <c r="Y57">
        <f t="shared" si="3"/>
        <v>608.40999999999985</v>
      </c>
      <c r="Z57" s="8">
        <f t="shared" si="4"/>
        <v>0.17833881472883209</v>
      </c>
      <c r="AA57" t="str">
        <f t="shared" si="5"/>
        <v>January</v>
      </c>
      <c r="AB57">
        <f t="shared" si="6"/>
        <v>2025</v>
      </c>
      <c r="AC57" t="str">
        <f t="shared" si="7"/>
        <v>Clean</v>
      </c>
    </row>
    <row r="58" spans="1:29">
      <c r="A58" t="s">
        <v>276</v>
      </c>
      <c r="B58" s="2">
        <v>45662</v>
      </c>
      <c r="C58" s="2">
        <v>45809</v>
      </c>
      <c r="D58" s="3">
        <f t="shared" si="0"/>
        <v>147</v>
      </c>
      <c r="E58" t="s">
        <v>277</v>
      </c>
      <c r="F58" t="s">
        <v>23</v>
      </c>
      <c r="G58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278</v>
      </c>
      <c r="N58" t="s">
        <v>31</v>
      </c>
      <c r="O58">
        <v>3</v>
      </c>
      <c r="P58">
        <v>3155.61</v>
      </c>
      <c r="Q58" s="7">
        <v>0</v>
      </c>
      <c r="R58">
        <v>9466.83</v>
      </c>
      <c r="S58">
        <v>6557.83</v>
      </c>
      <c r="T58">
        <v>2909</v>
      </c>
      <c r="U58" t="s">
        <v>102</v>
      </c>
      <c r="V58" t="s">
        <v>68</v>
      </c>
      <c r="W58" s="8">
        <f t="shared" si="1"/>
        <v>0</v>
      </c>
      <c r="X58">
        <f t="shared" si="2"/>
        <v>9466.83</v>
      </c>
      <c r="Y58">
        <f t="shared" si="3"/>
        <v>2909</v>
      </c>
      <c r="Z58" s="8">
        <f t="shared" si="4"/>
        <v>0.30728343067320318</v>
      </c>
      <c r="AA58" t="str">
        <f t="shared" si="5"/>
        <v>January</v>
      </c>
      <c r="AB58">
        <f t="shared" si="6"/>
        <v>2025</v>
      </c>
      <c r="AC58" t="str">
        <f t="shared" si="7"/>
        <v>Clean</v>
      </c>
    </row>
    <row r="59" spans="1:29">
      <c r="A59" t="s">
        <v>279</v>
      </c>
      <c r="B59" s="2">
        <v>45329</v>
      </c>
      <c r="C59" s="2">
        <v>45337</v>
      </c>
      <c r="D59" s="3">
        <f t="shared" si="0"/>
        <v>8</v>
      </c>
      <c r="E59" t="s">
        <v>280</v>
      </c>
      <c r="F59" t="s">
        <v>114</v>
      </c>
      <c r="G59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281</v>
      </c>
      <c r="N59" t="s">
        <v>44</v>
      </c>
      <c r="O59">
        <v>5</v>
      </c>
      <c r="P59">
        <v>255.87</v>
      </c>
      <c r="Q59" s="7">
        <v>0</v>
      </c>
      <c r="R59">
        <v>1279.3499999999999</v>
      </c>
      <c r="S59">
        <v>1091.54</v>
      </c>
      <c r="T59">
        <v>187.81</v>
      </c>
      <c r="U59" t="s">
        <v>32</v>
      </c>
      <c r="V59" t="s">
        <v>33</v>
      </c>
      <c r="W59" s="8">
        <f t="shared" si="1"/>
        <v>0</v>
      </c>
      <c r="X59">
        <f t="shared" si="2"/>
        <v>1279.3499999999999</v>
      </c>
      <c r="Y59">
        <f t="shared" si="3"/>
        <v>187.80999999999995</v>
      </c>
      <c r="Z59" s="8">
        <f t="shared" si="4"/>
        <v>0.14680110993864068</v>
      </c>
      <c r="AA59" t="str">
        <f t="shared" si="5"/>
        <v>February</v>
      </c>
      <c r="AB59">
        <f t="shared" si="6"/>
        <v>2024</v>
      </c>
      <c r="AC59" t="str">
        <f t="shared" si="7"/>
        <v>Clean</v>
      </c>
    </row>
    <row r="60" spans="1:29">
      <c r="A60" t="s">
        <v>282</v>
      </c>
      <c r="B60" s="2">
        <v>45536</v>
      </c>
      <c r="C60" s="2">
        <v>45542</v>
      </c>
      <c r="D60" s="3">
        <f t="shared" si="0"/>
        <v>6</v>
      </c>
      <c r="E60" t="s">
        <v>283</v>
      </c>
      <c r="F60" t="s">
        <v>47</v>
      </c>
      <c r="G60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284</v>
      </c>
      <c r="N60" s="4" t="s">
        <v>2760</v>
      </c>
      <c r="O60">
        <v>9</v>
      </c>
      <c r="P60">
        <v>1389.48</v>
      </c>
      <c r="Q60" s="6">
        <v>0.1</v>
      </c>
      <c r="R60">
        <v>11254.79</v>
      </c>
      <c r="S60">
        <v>6578.06</v>
      </c>
      <c r="T60">
        <v>4676.7299999999996</v>
      </c>
      <c r="U60" t="s">
        <v>111</v>
      </c>
      <c r="V60" t="s">
        <v>103</v>
      </c>
      <c r="W60" s="8">
        <f t="shared" si="1"/>
        <v>0.1</v>
      </c>
      <c r="X60">
        <f t="shared" si="2"/>
        <v>11254.788</v>
      </c>
      <c r="Y60">
        <f t="shared" si="3"/>
        <v>4676.7280000000001</v>
      </c>
      <c r="Z60" s="8">
        <f t="shared" si="4"/>
        <v>0.41553230500654476</v>
      </c>
      <c r="AA60" t="str">
        <f t="shared" si="5"/>
        <v>September</v>
      </c>
      <c r="AB60">
        <f t="shared" si="6"/>
        <v>2024</v>
      </c>
      <c r="AC60" t="str">
        <f t="shared" si="7"/>
        <v>Clean</v>
      </c>
    </row>
    <row r="61" spans="1:29">
      <c r="A61" t="s">
        <v>285</v>
      </c>
      <c r="B61" s="2">
        <v>45493</v>
      </c>
      <c r="C61" s="2">
        <v>45498</v>
      </c>
      <c r="D61" s="3">
        <f t="shared" si="0"/>
        <v>5</v>
      </c>
      <c r="E61" t="s">
        <v>286</v>
      </c>
      <c r="F61" t="s">
        <v>114</v>
      </c>
      <c r="G61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287</v>
      </c>
      <c r="N61" t="s">
        <v>44</v>
      </c>
      <c r="O61">
        <v>5</v>
      </c>
      <c r="P61">
        <v>4133.8500000000004</v>
      </c>
      <c r="Q61" s="6">
        <v>0.2</v>
      </c>
      <c r="R61">
        <v>16535.400000000001</v>
      </c>
      <c r="S61">
        <v>12990.21</v>
      </c>
      <c r="T61">
        <v>3545.19</v>
      </c>
      <c r="U61" t="s">
        <v>32</v>
      </c>
      <c r="V61" t="s">
        <v>68</v>
      </c>
      <c r="W61" s="8">
        <f t="shared" si="1"/>
        <v>0.2</v>
      </c>
      <c r="X61">
        <f t="shared" si="2"/>
        <v>16535.400000000001</v>
      </c>
      <c r="Y61">
        <f t="shared" si="3"/>
        <v>3545.1900000000023</v>
      </c>
      <c r="Z61" s="8">
        <f t="shared" si="4"/>
        <v>0.21440001451431487</v>
      </c>
      <c r="AA61" t="str">
        <f t="shared" si="5"/>
        <v>July</v>
      </c>
      <c r="AB61">
        <f t="shared" si="6"/>
        <v>2024</v>
      </c>
      <c r="AC61" t="str">
        <f t="shared" si="7"/>
        <v>Clean</v>
      </c>
    </row>
    <row r="62" spans="1:29">
      <c r="A62" t="s">
        <v>288</v>
      </c>
      <c r="B62" s="2">
        <v>45486</v>
      </c>
      <c r="C62" s="2">
        <v>45492</v>
      </c>
      <c r="D62" s="3">
        <f t="shared" si="0"/>
        <v>6</v>
      </c>
      <c r="E62" t="s">
        <v>289</v>
      </c>
      <c r="F62" t="s">
        <v>62</v>
      </c>
      <c r="G62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290</v>
      </c>
      <c r="N62" t="s">
        <v>44</v>
      </c>
      <c r="O62">
        <v>3</v>
      </c>
      <c r="P62">
        <v>275.76</v>
      </c>
      <c r="Q62" s="6">
        <v>0.2</v>
      </c>
      <c r="R62">
        <v>661.82</v>
      </c>
      <c r="S62">
        <v>481.47</v>
      </c>
      <c r="T62">
        <v>180.35</v>
      </c>
      <c r="U62" t="s">
        <v>102</v>
      </c>
      <c r="V62" t="s">
        <v>68</v>
      </c>
      <c r="W62" s="8">
        <f t="shared" si="1"/>
        <v>0.2</v>
      </c>
      <c r="X62">
        <f t="shared" si="2"/>
        <v>661.82400000000007</v>
      </c>
      <c r="Y62">
        <f t="shared" si="3"/>
        <v>180.35400000000004</v>
      </c>
      <c r="Z62" s="8">
        <f t="shared" si="4"/>
        <v>0.27251051639106472</v>
      </c>
      <c r="AA62" t="str">
        <f t="shared" si="5"/>
        <v>July</v>
      </c>
      <c r="AB62">
        <f t="shared" si="6"/>
        <v>2024</v>
      </c>
      <c r="AC62" t="str">
        <f t="shared" si="7"/>
        <v>Clean</v>
      </c>
    </row>
    <row r="63" spans="1:29">
      <c r="A63" t="s">
        <v>291</v>
      </c>
      <c r="B63" s="2">
        <v>45398</v>
      </c>
      <c r="C63" s="2">
        <v>45398</v>
      </c>
      <c r="D63" s="3">
        <f t="shared" si="0"/>
        <v>0</v>
      </c>
      <c r="E63" t="s">
        <v>292</v>
      </c>
      <c r="F63" t="s">
        <v>71</v>
      </c>
      <c r="G63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293</v>
      </c>
      <c r="N63" t="s">
        <v>59</v>
      </c>
      <c r="O63">
        <v>1</v>
      </c>
      <c r="P63">
        <v>949.59</v>
      </c>
      <c r="Q63" s="7">
        <v>0</v>
      </c>
      <c r="R63">
        <v>949.59</v>
      </c>
      <c r="S63">
        <v>751.25</v>
      </c>
      <c r="T63">
        <v>198.34</v>
      </c>
      <c r="U63" t="s">
        <v>32</v>
      </c>
      <c r="V63" t="s">
        <v>33</v>
      </c>
      <c r="W63" s="8">
        <f t="shared" si="1"/>
        <v>0</v>
      </c>
      <c r="X63">
        <f t="shared" si="2"/>
        <v>949.59</v>
      </c>
      <c r="Y63">
        <f t="shared" si="3"/>
        <v>198.34000000000003</v>
      </c>
      <c r="Z63" s="8">
        <f t="shared" si="4"/>
        <v>0.20886909087079689</v>
      </c>
      <c r="AA63" t="str">
        <f t="shared" si="5"/>
        <v>April</v>
      </c>
      <c r="AB63">
        <f t="shared" si="6"/>
        <v>2024</v>
      </c>
      <c r="AC63" t="str">
        <f t="shared" si="7"/>
        <v>Clean</v>
      </c>
    </row>
    <row r="64" spans="1:29">
      <c r="A64" t="s">
        <v>294</v>
      </c>
      <c r="B64" s="2">
        <v>45595</v>
      </c>
      <c r="C64" s="2">
        <v>45333</v>
      </c>
      <c r="D64" s="5">
        <f t="shared" si="0"/>
        <v>-262</v>
      </c>
      <c r="E64" t="s">
        <v>295</v>
      </c>
      <c r="F64" t="s">
        <v>132</v>
      </c>
      <c r="G64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296</v>
      </c>
      <c r="N64" t="s">
        <v>59</v>
      </c>
      <c r="O64">
        <v>9</v>
      </c>
      <c r="P64">
        <v>3042.29</v>
      </c>
      <c r="Q64" s="6">
        <v>0.2</v>
      </c>
      <c r="R64">
        <v>21904.49</v>
      </c>
      <c r="S64">
        <v>13570.55</v>
      </c>
      <c r="T64">
        <v>8333.94</v>
      </c>
      <c r="U64" t="s">
        <v>32</v>
      </c>
      <c r="V64" t="s">
        <v>33</v>
      </c>
      <c r="W64" s="8">
        <f t="shared" si="1"/>
        <v>0.2</v>
      </c>
      <c r="X64">
        <f t="shared" si="2"/>
        <v>21904.488000000001</v>
      </c>
      <c r="Y64">
        <f t="shared" si="3"/>
        <v>8333.9380000000019</v>
      </c>
      <c r="Z64" s="8">
        <f t="shared" si="4"/>
        <v>0.38046714445003244</v>
      </c>
      <c r="AA64" t="str">
        <f t="shared" si="5"/>
        <v>October</v>
      </c>
      <c r="AB64">
        <f t="shared" si="6"/>
        <v>2024</v>
      </c>
      <c r="AC64" t="str">
        <f t="shared" si="7"/>
        <v>Warning</v>
      </c>
    </row>
    <row r="65" spans="1:29">
      <c r="A65" t="s">
        <v>297</v>
      </c>
      <c r="B65" s="2">
        <v>45316</v>
      </c>
      <c r="C65" s="2">
        <v>45293</v>
      </c>
      <c r="D65" s="5">
        <f t="shared" si="0"/>
        <v>-23</v>
      </c>
      <c r="E65" t="s">
        <v>298</v>
      </c>
      <c r="F65" t="s">
        <v>132</v>
      </c>
      <c r="G65" t="s">
        <v>95</v>
      </c>
      <c r="H65" t="s">
        <v>25</v>
      </c>
      <c r="I65" t="s">
        <v>236</v>
      </c>
      <c r="J65" t="s">
        <v>237</v>
      </c>
      <c r="K65" t="s">
        <v>28</v>
      </c>
      <c r="L65" t="s">
        <v>153</v>
      </c>
      <c r="M65" t="s">
        <v>299</v>
      </c>
      <c r="N65" t="s">
        <v>44</v>
      </c>
      <c r="O65">
        <v>2</v>
      </c>
      <c r="P65">
        <v>2832.77</v>
      </c>
      <c r="Q65" s="6">
        <v>0.15</v>
      </c>
      <c r="R65">
        <v>4815.71</v>
      </c>
      <c r="S65">
        <v>3027.75</v>
      </c>
      <c r="T65">
        <v>1917.47</v>
      </c>
      <c r="U65" t="s">
        <v>32</v>
      </c>
      <c r="V65" t="s">
        <v>33</v>
      </c>
      <c r="W65" s="8">
        <f t="shared" si="1"/>
        <v>0.15</v>
      </c>
      <c r="X65">
        <f t="shared" si="2"/>
        <v>4815.7089999999998</v>
      </c>
      <c r="Y65">
        <f t="shared" si="3"/>
        <v>1787.9589999999998</v>
      </c>
      <c r="Z65" s="8">
        <f t="shared" si="4"/>
        <v>0.37127637903369992</v>
      </c>
      <c r="AA65" t="str">
        <f t="shared" si="5"/>
        <v>January</v>
      </c>
      <c r="AB65">
        <f t="shared" si="6"/>
        <v>2024</v>
      </c>
      <c r="AC65" t="str">
        <f t="shared" si="7"/>
        <v>Warning</v>
      </c>
    </row>
    <row r="66" spans="1:29">
      <c r="A66" t="s">
        <v>300</v>
      </c>
      <c r="B66" s="2">
        <v>45649</v>
      </c>
      <c r="C66" s="2">
        <v>45655</v>
      </c>
      <c r="D66" s="3">
        <f t="shared" ref="D66:D129" si="8">C66-B66</f>
        <v>6</v>
      </c>
      <c r="E66" t="s">
        <v>301</v>
      </c>
      <c r="F66" t="s">
        <v>128</v>
      </c>
      <c r="G66" t="s">
        <v>90</v>
      </c>
      <c r="H66" t="s">
        <v>38</v>
      </c>
      <c r="I66" t="s">
        <v>228</v>
      </c>
      <c r="J66" t="s">
        <v>229</v>
      </c>
      <c r="K66" t="s">
        <v>28</v>
      </c>
      <c r="L66" t="s">
        <v>29</v>
      </c>
      <c r="M66" t="s">
        <v>302</v>
      </c>
      <c r="N66" t="s">
        <v>50</v>
      </c>
      <c r="O66">
        <v>7</v>
      </c>
      <c r="P66">
        <v>447.84</v>
      </c>
      <c r="Q66" s="7">
        <v>0</v>
      </c>
      <c r="R66">
        <v>3134.88</v>
      </c>
      <c r="S66">
        <v>2367.63</v>
      </c>
      <c r="T66">
        <v>767.25</v>
      </c>
      <c r="U66" t="s">
        <v>102</v>
      </c>
      <c r="V66" t="s">
        <v>103</v>
      </c>
      <c r="W66" s="8">
        <f t="shared" si="1"/>
        <v>0</v>
      </c>
      <c r="X66">
        <f t="shared" si="2"/>
        <v>3134.8799999999997</v>
      </c>
      <c r="Y66">
        <f t="shared" si="3"/>
        <v>767.24999999999955</v>
      </c>
      <c r="Z66" s="8">
        <f t="shared" si="4"/>
        <v>0.24474621038125849</v>
      </c>
      <c r="AA66" t="str">
        <f t="shared" si="5"/>
        <v>December</v>
      </c>
      <c r="AB66">
        <f t="shared" si="6"/>
        <v>2024</v>
      </c>
      <c r="AC66" t="str">
        <f t="shared" si="7"/>
        <v>Clean</v>
      </c>
    </row>
    <row r="67" spans="1:29">
      <c r="A67" t="s">
        <v>303</v>
      </c>
      <c r="B67" s="2">
        <v>45404</v>
      </c>
      <c r="C67" s="2">
        <v>45409</v>
      </c>
      <c r="D67" s="3">
        <f t="shared" si="8"/>
        <v>5</v>
      </c>
      <c r="E67" t="s">
        <v>304</v>
      </c>
      <c r="F67" t="s">
        <v>36</v>
      </c>
      <c r="G67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305</v>
      </c>
      <c r="N67" t="s">
        <v>31</v>
      </c>
      <c r="O67">
        <v>1</v>
      </c>
      <c r="P67">
        <v>4280.1899999999996</v>
      </c>
      <c r="Q67" s="6">
        <v>0.05</v>
      </c>
      <c r="R67">
        <v>4066.18</v>
      </c>
      <c r="S67">
        <v>2628.92</v>
      </c>
      <c r="T67">
        <v>1437.26</v>
      </c>
      <c r="U67" t="s">
        <v>32</v>
      </c>
      <c r="V67" t="s">
        <v>33</v>
      </c>
      <c r="W67" s="8">
        <f t="shared" ref="W67:W130" si="9">Q67</f>
        <v>0.05</v>
      </c>
      <c r="X67">
        <f t="shared" ref="X67:X130" si="10">O67*P67*(1-W67)</f>
        <v>4066.1804999999995</v>
      </c>
      <c r="Y67">
        <f t="shared" ref="Y67:Y130" si="11">X67-S67</f>
        <v>1437.2604999999994</v>
      </c>
      <c r="Z67" s="8">
        <f t="shared" ref="Z67:Z130" si="12">IF(X67=0,0,Y67/X67)</f>
        <v>0.35346696980126674</v>
      </c>
      <c r="AA67" t="str">
        <f t="shared" ref="AA67:AA130" si="13">TEXT(B67,"mmmm")</f>
        <v>April</v>
      </c>
      <c r="AB67">
        <f t="shared" ref="AB67:AB130" si="14">YEAR(B67)</f>
        <v>2024</v>
      </c>
      <c r="AC67" t="str">
        <f t="shared" ref="AC67:AC130" si="15">IF(Q67&lt;0,"Invalid",IF(D67&lt;0,"Warning","Clean"))</f>
        <v>Clean</v>
      </c>
    </row>
    <row r="68" spans="1:29">
      <c r="A68" t="s">
        <v>306</v>
      </c>
      <c r="B68" s="2">
        <v>45897</v>
      </c>
      <c r="C68" s="2">
        <v>45901</v>
      </c>
      <c r="D68" s="3">
        <f t="shared" si="8"/>
        <v>4</v>
      </c>
      <c r="E68" t="s">
        <v>307</v>
      </c>
      <c r="F68" t="s">
        <v>23</v>
      </c>
      <c r="G68" t="s">
        <v>37</v>
      </c>
      <c r="H68" t="s">
        <v>54</v>
      </c>
      <c r="I68" t="s">
        <v>247</v>
      </c>
      <c r="J68" t="s">
        <v>248</v>
      </c>
      <c r="K68" t="s">
        <v>74</v>
      </c>
      <c r="L68" t="s">
        <v>75</v>
      </c>
      <c r="M68" t="s">
        <v>308</v>
      </c>
      <c r="N68" t="s">
        <v>44</v>
      </c>
      <c r="O68">
        <v>7</v>
      </c>
      <c r="P68">
        <v>1057.46</v>
      </c>
      <c r="Q68" s="6">
        <v>0.05</v>
      </c>
      <c r="R68">
        <v>7032.11</v>
      </c>
      <c r="S68">
        <v>4610.34</v>
      </c>
      <c r="T68">
        <v>2421.77</v>
      </c>
      <c r="U68" t="s">
        <v>32</v>
      </c>
      <c r="V68" t="s">
        <v>33</v>
      </c>
      <c r="W68" s="8">
        <f t="shared" si="9"/>
        <v>0.05</v>
      </c>
      <c r="X68">
        <f t="shared" si="10"/>
        <v>7032.1089999999995</v>
      </c>
      <c r="Y68">
        <f t="shared" si="11"/>
        <v>2421.7689999999993</v>
      </c>
      <c r="Z68" s="8">
        <f t="shared" si="12"/>
        <v>0.34438729547565311</v>
      </c>
      <c r="AA68" t="str">
        <f t="shared" si="13"/>
        <v>August</v>
      </c>
      <c r="AB68">
        <f t="shared" si="14"/>
        <v>2025</v>
      </c>
      <c r="AC68" t="str">
        <f t="shared" si="15"/>
        <v>Clean</v>
      </c>
    </row>
    <row r="69" spans="1:29">
      <c r="A69" t="s">
        <v>309</v>
      </c>
      <c r="B69" s="2">
        <v>45691</v>
      </c>
      <c r="C69" s="2">
        <v>45840</v>
      </c>
      <c r="D69" s="3">
        <f t="shared" si="8"/>
        <v>149</v>
      </c>
      <c r="E69" t="s">
        <v>310</v>
      </c>
      <c r="F69" t="s">
        <v>264</v>
      </c>
      <c r="G69" t="s">
        <v>24</v>
      </c>
      <c r="H69" t="s">
        <v>25</v>
      </c>
      <c r="I69" t="s">
        <v>236</v>
      </c>
      <c r="J69" t="s">
        <v>237</v>
      </c>
      <c r="K69" t="s">
        <v>28</v>
      </c>
      <c r="L69" t="s">
        <v>29</v>
      </c>
      <c r="M69" t="s">
        <v>311</v>
      </c>
      <c r="N69" t="s">
        <v>50</v>
      </c>
      <c r="O69">
        <v>7</v>
      </c>
      <c r="P69">
        <v>3609.34</v>
      </c>
      <c r="Q69" s="6">
        <v>0.05</v>
      </c>
      <c r="R69">
        <v>24002.11</v>
      </c>
      <c r="S69">
        <v>18707.57</v>
      </c>
      <c r="T69">
        <v>5294.54</v>
      </c>
      <c r="U69" t="s">
        <v>32</v>
      </c>
      <c r="V69" t="s">
        <v>33</v>
      </c>
      <c r="W69" s="8">
        <f t="shared" si="9"/>
        <v>0.05</v>
      </c>
      <c r="X69">
        <f t="shared" si="10"/>
        <v>24002.111000000001</v>
      </c>
      <c r="Y69">
        <f t="shared" si="11"/>
        <v>5294.5410000000011</v>
      </c>
      <c r="Z69" s="8">
        <f t="shared" si="12"/>
        <v>0.2205864725815159</v>
      </c>
      <c r="AA69" t="str">
        <f t="shared" si="13"/>
        <v>February</v>
      </c>
      <c r="AB69">
        <f t="shared" si="14"/>
        <v>2025</v>
      </c>
      <c r="AC69" t="str">
        <f t="shared" si="15"/>
        <v>Clean</v>
      </c>
    </row>
    <row r="70" spans="1:29">
      <c r="A70" t="s">
        <v>312</v>
      </c>
      <c r="B70" s="2">
        <v>45606</v>
      </c>
      <c r="C70" s="2">
        <v>45609</v>
      </c>
      <c r="D70" s="3">
        <f t="shared" si="8"/>
        <v>3</v>
      </c>
      <c r="E70" t="s">
        <v>313</v>
      </c>
      <c r="F70" t="s">
        <v>47</v>
      </c>
      <c r="G70" t="s">
        <v>90</v>
      </c>
      <c r="H70" t="s">
        <v>38</v>
      </c>
      <c r="I70" t="s">
        <v>228</v>
      </c>
      <c r="J70" t="s">
        <v>229</v>
      </c>
      <c r="K70" t="s">
        <v>28</v>
      </c>
      <c r="L70" t="s">
        <v>124</v>
      </c>
      <c r="M70" t="s">
        <v>314</v>
      </c>
      <c r="N70" t="s">
        <v>31</v>
      </c>
      <c r="O70">
        <v>9</v>
      </c>
      <c r="P70">
        <v>2211.12</v>
      </c>
      <c r="Q70" s="7">
        <v>0</v>
      </c>
      <c r="R70">
        <v>19900.080000000002</v>
      </c>
      <c r="S70">
        <v>10962.66</v>
      </c>
      <c r="T70">
        <v>8937.42</v>
      </c>
      <c r="U70" t="s">
        <v>155</v>
      </c>
      <c r="V70" t="s">
        <v>103</v>
      </c>
      <c r="W70" s="8">
        <f t="shared" si="9"/>
        <v>0</v>
      </c>
      <c r="X70">
        <f t="shared" si="10"/>
        <v>19900.079999999998</v>
      </c>
      <c r="Y70">
        <f t="shared" si="11"/>
        <v>8937.4199999999983</v>
      </c>
      <c r="Z70" s="8">
        <f t="shared" si="12"/>
        <v>0.44911477742803041</v>
      </c>
      <c r="AA70" t="str">
        <f t="shared" si="13"/>
        <v>November</v>
      </c>
      <c r="AB70">
        <f t="shared" si="14"/>
        <v>2024</v>
      </c>
      <c r="AC70" t="str">
        <f t="shared" si="15"/>
        <v>Clean</v>
      </c>
    </row>
    <row r="71" spans="1:29">
      <c r="A71" t="s">
        <v>315</v>
      </c>
      <c r="B71" s="2">
        <v>45391</v>
      </c>
      <c r="C71" s="2">
        <v>45396</v>
      </c>
      <c r="D71" s="3">
        <f t="shared" si="8"/>
        <v>5</v>
      </c>
      <c r="E71" t="s">
        <v>316</v>
      </c>
      <c r="F71" t="s">
        <v>79</v>
      </c>
      <c r="G71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274</v>
      </c>
      <c r="M71" t="s">
        <v>317</v>
      </c>
      <c r="N71" t="s">
        <v>44</v>
      </c>
      <c r="O71">
        <v>7</v>
      </c>
      <c r="P71">
        <v>3417.09</v>
      </c>
      <c r="Q71" s="6">
        <v>0.1</v>
      </c>
      <c r="R71">
        <v>21527.67</v>
      </c>
      <c r="S71">
        <v>18287.580000000002</v>
      </c>
      <c r="T71">
        <v>3240.09</v>
      </c>
      <c r="U71" t="s">
        <v>102</v>
      </c>
      <c r="V71" t="s">
        <v>103</v>
      </c>
      <c r="W71" s="8">
        <f t="shared" si="9"/>
        <v>0.1</v>
      </c>
      <c r="X71">
        <f t="shared" si="10"/>
        <v>21527.667000000001</v>
      </c>
      <c r="Y71">
        <f t="shared" si="11"/>
        <v>3240.0869999999995</v>
      </c>
      <c r="Z71" s="8">
        <f t="shared" si="12"/>
        <v>0.15050804158202555</v>
      </c>
      <c r="AA71" t="str">
        <f t="shared" si="13"/>
        <v>April</v>
      </c>
      <c r="AB71">
        <f t="shared" si="14"/>
        <v>2024</v>
      </c>
      <c r="AC71" t="str">
        <f t="shared" si="15"/>
        <v>Clean</v>
      </c>
    </row>
    <row r="72" spans="1:29">
      <c r="A72" t="s">
        <v>318</v>
      </c>
      <c r="B72" s="2">
        <v>45891</v>
      </c>
      <c r="C72" s="2">
        <v>45896</v>
      </c>
      <c r="D72" s="3">
        <f t="shared" si="8"/>
        <v>5</v>
      </c>
      <c r="E72" t="s">
        <v>319</v>
      </c>
      <c r="F72" t="s">
        <v>23</v>
      </c>
      <c r="G72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320</v>
      </c>
      <c r="N72" t="s">
        <v>50</v>
      </c>
      <c r="O72">
        <v>2</v>
      </c>
      <c r="P72">
        <v>905.87</v>
      </c>
      <c r="Q72" s="6">
        <v>0.15</v>
      </c>
      <c r="R72">
        <v>1539.98</v>
      </c>
      <c r="S72">
        <v>1070.2</v>
      </c>
      <c r="T72">
        <v>469.78</v>
      </c>
      <c r="U72" t="s">
        <v>32</v>
      </c>
      <c r="V72" t="s">
        <v>33</v>
      </c>
      <c r="W72" s="8">
        <f t="shared" si="9"/>
        <v>0.15</v>
      </c>
      <c r="X72">
        <f t="shared" si="10"/>
        <v>1539.979</v>
      </c>
      <c r="Y72">
        <f t="shared" si="11"/>
        <v>469.779</v>
      </c>
      <c r="Z72" s="8">
        <f t="shared" si="12"/>
        <v>0.30505545854846072</v>
      </c>
      <c r="AA72" t="str">
        <f t="shared" si="13"/>
        <v>August</v>
      </c>
      <c r="AB72">
        <f t="shared" si="14"/>
        <v>2025</v>
      </c>
      <c r="AC72" t="str">
        <f t="shared" si="15"/>
        <v>Clean</v>
      </c>
    </row>
    <row r="73" spans="1:29">
      <c r="A73" t="s">
        <v>321</v>
      </c>
      <c r="B73" s="2">
        <v>45763</v>
      </c>
      <c r="C73" s="2">
        <v>45770</v>
      </c>
      <c r="D73" s="3">
        <f t="shared" si="8"/>
        <v>7</v>
      </c>
      <c r="E73" t="s">
        <v>322</v>
      </c>
      <c r="F73" t="s">
        <v>36</v>
      </c>
      <c r="G73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274</v>
      </c>
      <c r="M73" t="s">
        <v>323</v>
      </c>
      <c r="N73" t="s">
        <v>59</v>
      </c>
      <c r="O73">
        <v>6</v>
      </c>
      <c r="P73">
        <v>2027.32</v>
      </c>
      <c r="Q73" s="6">
        <v>0.1</v>
      </c>
      <c r="R73">
        <v>10947.53</v>
      </c>
      <c r="S73">
        <v>6447.36</v>
      </c>
      <c r="T73">
        <v>4500.17</v>
      </c>
      <c r="U73" t="s">
        <v>32</v>
      </c>
      <c r="V73" t="s">
        <v>33</v>
      </c>
      <c r="W73" s="8">
        <f t="shared" si="9"/>
        <v>0.1</v>
      </c>
      <c r="X73">
        <f t="shared" si="10"/>
        <v>10947.528</v>
      </c>
      <c r="Y73">
        <f t="shared" si="11"/>
        <v>4500.1680000000006</v>
      </c>
      <c r="Z73" s="8">
        <f t="shared" si="12"/>
        <v>0.41106704636882413</v>
      </c>
      <c r="AA73" t="str">
        <f t="shared" si="13"/>
        <v>April</v>
      </c>
      <c r="AB73">
        <f t="shared" si="14"/>
        <v>2025</v>
      </c>
      <c r="AC73" t="str">
        <f t="shared" si="15"/>
        <v>Clean</v>
      </c>
    </row>
    <row r="74" spans="1:29">
      <c r="A74" t="s">
        <v>324</v>
      </c>
      <c r="B74" s="2">
        <v>45333</v>
      </c>
      <c r="C74" s="2">
        <v>45329</v>
      </c>
      <c r="D74" s="5">
        <f t="shared" si="8"/>
        <v>-4</v>
      </c>
      <c r="E74" t="s">
        <v>325</v>
      </c>
      <c r="F74" t="s">
        <v>23</v>
      </c>
      <c r="G74" t="s">
        <v>95</v>
      </c>
      <c r="H74" t="s">
        <v>54</v>
      </c>
      <c r="I74" t="s">
        <v>247</v>
      </c>
      <c r="J74" t="s">
        <v>248</v>
      </c>
      <c r="K74" t="s">
        <v>41</v>
      </c>
      <c r="L74" t="s">
        <v>42</v>
      </c>
      <c r="M74" t="s">
        <v>326</v>
      </c>
      <c r="N74" t="s">
        <v>50</v>
      </c>
      <c r="O74">
        <v>7</v>
      </c>
      <c r="P74">
        <v>2287.4699999999998</v>
      </c>
      <c r="Q74" s="6">
        <v>0.15</v>
      </c>
      <c r="R74">
        <v>13610.45</v>
      </c>
      <c r="S74">
        <v>10039.049999999999</v>
      </c>
      <c r="T74">
        <v>3571.4</v>
      </c>
      <c r="U74" t="s">
        <v>32</v>
      </c>
      <c r="V74" t="s">
        <v>33</v>
      </c>
      <c r="W74" s="8">
        <f t="shared" si="9"/>
        <v>0.15</v>
      </c>
      <c r="X74">
        <f t="shared" si="10"/>
        <v>13610.446499999998</v>
      </c>
      <c r="Y74">
        <f t="shared" si="11"/>
        <v>3571.3964999999989</v>
      </c>
      <c r="Z74" s="8">
        <f t="shared" si="12"/>
        <v>0.26240112695788487</v>
      </c>
      <c r="AA74" t="str">
        <f t="shared" si="13"/>
        <v>February</v>
      </c>
      <c r="AB74">
        <f t="shared" si="14"/>
        <v>2024</v>
      </c>
      <c r="AC74" t="str">
        <f t="shared" si="15"/>
        <v>Warning</v>
      </c>
    </row>
    <row r="75" spans="1:29">
      <c r="A75" t="s">
        <v>327</v>
      </c>
      <c r="B75" s="2">
        <v>45745</v>
      </c>
      <c r="C75" s="2">
        <v>45750</v>
      </c>
      <c r="D75" s="3">
        <f t="shared" si="8"/>
        <v>5</v>
      </c>
      <c r="E75" t="s">
        <v>328</v>
      </c>
      <c r="F75" t="s">
        <v>132</v>
      </c>
      <c r="G7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329</v>
      </c>
      <c r="N75" t="s">
        <v>50</v>
      </c>
      <c r="O75">
        <v>5</v>
      </c>
      <c r="P75">
        <v>1425.74</v>
      </c>
      <c r="Q75" s="7">
        <v>0</v>
      </c>
      <c r="R75">
        <v>7128.7</v>
      </c>
      <c r="S75">
        <v>4382.1499999999996</v>
      </c>
      <c r="T75">
        <v>2746.55</v>
      </c>
      <c r="U75" t="s">
        <v>32</v>
      </c>
      <c r="V75" t="s">
        <v>33</v>
      </c>
      <c r="W75" s="8">
        <f t="shared" si="9"/>
        <v>0</v>
      </c>
      <c r="X75">
        <f t="shared" si="10"/>
        <v>7128.7</v>
      </c>
      <c r="Y75">
        <f t="shared" si="11"/>
        <v>2746.55</v>
      </c>
      <c r="Z75" s="8">
        <f t="shared" si="12"/>
        <v>0.38528062620113068</v>
      </c>
      <c r="AA75" t="str">
        <f t="shared" si="13"/>
        <v>March</v>
      </c>
      <c r="AB75">
        <f t="shared" si="14"/>
        <v>2025</v>
      </c>
      <c r="AC75" t="str">
        <f t="shared" si="15"/>
        <v>Clean</v>
      </c>
    </row>
    <row r="76" spans="1:29">
      <c r="A76" t="s">
        <v>330</v>
      </c>
      <c r="B76" s="2">
        <v>45715</v>
      </c>
      <c r="C76" s="2">
        <v>45717</v>
      </c>
      <c r="D76" s="3">
        <f t="shared" si="8"/>
        <v>2</v>
      </c>
      <c r="E76" t="s">
        <v>331</v>
      </c>
      <c r="F76" t="s">
        <v>71</v>
      </c>
      <c r="G76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332</v>
      </c>
      <c r="N76" t="s">
        <v>59</v>
      </c>
      <c r="O76">
        <v>6</v>
      </c>
      <c r="P76">
        <v>551.64</v>
      </c>
      <c r="Q76" s="7">
        <v>0</v>
      </c>
      <c r="R76">
        <v>3309.84</v>
      </c>
      <c r="S76">
        <v>2671.08</v>
      </c>
      <c r="T76">
        <v>638.76</v>
      </c>
      <c r="U76" t="s">
        <v>32</v>
      </c>
      <c r="V76" t="s">
        <v>33</v>
      </c>
      <c r="W76" s="8">
        <f t="shared" si="9"/>
        <v>0</v>
      </c>
      <c r="X76">
        <f t="shared" si="10"/>
        <v>3309.84</v>
      </c>
      <c r="Y76">
        <f t="shared" si="11"/>
        <v>638.76000000000022</v>
      </c>
      <c r="Z76" s="8">
        <f t="shared" si="12"/>
        <v>0.19298818069755644</v>
      </c>
      <c r="AA76" t="str">
        <f t="shared" si="13"/>
        <v>February</v>
      </c>
      <c r="AB76">
        <f t="shared" si="14"/>
        <v>2025</v>
      </c>
      <c r="AC76" t="str">
        <f t="shared" si="15"/>
        <v>Clean</v>
      </c>
    </row>
    <row r="77" spans="1:29">
      <c r="A77" t="s">
        <v>333</v>
      </c>
      <c r="B77" s="2">
        <v>45891</v>
      </c>
      <c r="C77" s="2">
        <v>45896</v>
      </c>
      <c r="D77" s="3">
        <f t="shared" si="8"/>
        <v>5</v>
      </c>
      <c r="E77" t="s">
        <v>334</v>
      </c>
      <c r="F77" t="s">
        <v>114</v>
      </c>
      <c r="G77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335</v>
      </c>
      <c r="N77" t="s">
        <v>50</v>
      </c>
      <c r="O77">
        <v>3</v>
      </c>
      <c r="P77">
        <v>3294.82</v>
      </c>
      <c r="Q77" s="6">
        <v>0.2</v>
      </c>
      <c r="R77">
        <v>7907.57</v>
      </c>
      <c r="S77">
        <v>5391.18</v>
      </c>
      <c r="T77">
        <v>2516.39</v>
      </c>
      <c r="U77" t="s">
        <v>32</v>
      </c>
      <c r="V77" t="s">
        <v>33</v>
      </c>
      <c r="W77" s="8">
        <f t="shared" si="9"/>
        <v>0.2</v>
      </c>
      <c r="X77">
        <f t="shared" si="10"/>
        <v>7907.5680000000011</v>
      </c>
      <c r="Y77">
        <f t="shared" si="11"/>
        <v>2516.3880000000008</v>
      </c>
      <c r="Z77" s="8">
        <f t="shared" si="12"/>
        <v>0.31822527482533197</v>
      </c>
      <c r="AA77" t="str">
        <f t="shared" si="13"/>
        <v>August</v>
      </c>
      <c r="AB77">
        <f t="shared" si="14"/>
        <v>2025</v>
      </c>
      <c r="AC77" t="str">
        <f t="shared" si="15"/>
        <v>Clean</v>
      </c>
    </row>
    <row r="78" spans="1:29">
      <c r="A78" t="s">
        <v>336</v>
      </c>
      <c r="B78" s="2">
        <v>45599</v>
      </c>
      <c r="C78" s="2">
        <v>45607</v>
      </c>
      <c r="D78" s="3">
        <f t="shared" si="8"/>
        <v>8</v>
      </c>
      <c r="E78" t="s">
        <v>337</v>
      </c>
      <c r="F78" t="s">
        <v>62</v>
      </c>
      <c r="G78" t="s">
        <v>90</v>
      </c>
      <c r="H78" t="s">
        <v>38</v>
      </c>
      <c r="I78" t="s">
        <v>228</v>
      </c>
      <c r="J78" t="s">
        <v>229</v>
      </c>
      <c r="K78" t="s">
        <v>28</v>
      </c>
      <c r="L78" t="s">
        <v>91</v>
      </c>
      <c r="M78" t="s">
        <v>338</v>
      </c>
      <c r="N78" t="s">
        <v>31</v>
      </c>
      <c r="O78">
        <v>3</v>
      </c>
      <c r="P78">
        <v>3406.27</v>
      </c>
      <c r="Q78" s="7">
        <v>0</v>
      </c>
      <c r="R78">
        <v>10218.81</v>
      </c>
      <c r="S78">
        <v>7616.97</v>
      </c>
      <c r="T78">
        <v>2601.84</v>
      </c>
      <c r="U78" t="s">
        <v>32</v>
      </c>
      <c r="V78" t="s">
        <v>33</v>
      </c>
      <c r="W78" s="8">
        <f t="shared" si="9"/>
        <v>0</v>
      </c>
      <c r="X78">
        <f t="shared" si="10"/>
        <v>10218.81</v>
      </c>
      <c r="Y78">
        <f t="shared" si="11"/>
        <v>2601.8399999999992</v>
      </c>
      <c r="Z78" s="8">
        <f t="shared" si="12"/>
        <v>0.2546128169522674</v>
      </c>
      <c r="AA78" t="str">
        <f t="shared" si="13"/>
        <v>November</v>
      </c>
      <c r="AB78">
        <f t="shared" si="14"/>
        <v>2024</v>
      </c>
      <c r="AC78" t="str">
        <f t="shared" si="15"/>
        <v>Clean</v>
      </c>
    </row>
    <row r="79" spans="1:29">
      <c r="A79" t="s">
        <v>339</v>
      </c>
      <c r="B79" s="2">
        <v>45846</v>
      </c>
      <c r="C79" s="2">
        <v>45998</v>
      </c>
      <c r="D79" s="3">
        <f t="shared" si="8"/>
        <v>152</v>
      </c>
      <c r="E79" t="s">
        <v>340</v>
      </c>
      <c r="F79" t="s">
        <v>141</v>
      </c>
      <c r="G79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341</v>
      </c>
      <c r="N79" t="s">
        <v>59</v>
      </c>
      <c r="O79">
        <v>1</v>
      </c>
      <c r="P79">
        <v>2582.1999999999998</v>
      </c>
      <c r="Q79" s="6">
        <v>0.15</v>
      </c>
      <c r="R79">
        <v>2194.87</v>
      </c>
      <c r="S79">
        <v>1223.17</v>
      </c>
      <c r="T79">
        <v>971.7</v>
      </c>
      <c r="U79" t="s">
        <v>102</v>
      </c>
      <c r="V79" t="s">
        <v>68</v>
      </c>
      <c r="W79" s="8">
        <f t="shared" si="9"/>
        <v>0.15</v>
      </c>
      <c r="X79">
        <f t="shared" si="10"/>
        <v>2194.87</v>
      </c>
      <c r="Y79">
        <f t="shared" si="11"/>
        <v>971.69999999999982</v>
      </c>
      <c r="Z79" s="8">
        <f t="shared" si="12"/>
        <v>0.44271414707932583</v>
      </c>
      <c r="AA79" t="str">
        <f t="shared" si="13"/>
        <v>July</v>
      </c>
      <c r="AB79">
        <f t="shared" si="14"/>
        <v>2025</v>
      </c>
      <c r="AC79" t="str">
        <f t="shared" si="15"/>
        <v>Clean</v>
      </c>
    </row>
    <row r="80" spans="1:29">
      <c r="A80" t="s">
        <v>342</v>
      </c>
      <c r="B80" s="2">
        <v>45854</v>
      </c>
      <c r="C80" s="2">
        <v>45859</v>
      </c>
      <c r="D80" s="3">
        <f t="shared" si="8"/>
        <v>5</v>
      </c>
      <c r="E80" t="s">
        <v>343</v>
      </c>
      <c r="F80" t="s">
        <v>132</v>
      </c>
      <c r="G80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344</v>
      </c>
      <c r="N80" t="s">
        <v>50</v>
      </c>
      <c r="O80">
        <v>5</v>
      </c>
      <c r="P80">
        <v>2129.5100000000002</v>
      </c>
      <c r="Q80" s="6">
        <v>0.15</v>
      </c>
      <c r="R80">
        <v>9050.42</v>
      </c>
      <c r="S80">
        <v>6778.85</v>
      </c>
      <c r="T80">
        <v>2271.5700000000002</v>
      </c>
      <c r="U80" t="s">
        <v>32</v>
      </c>
      <c r="V80" t="s">
        <v>33</v>
      </c>
      <c r="W80" s="8">
        <f t="shared" si="9"/>
        <v>0.15</v>
      </c>
      <c r="X80">
        <f t="shared" si="10"/>
        <v>9050.4175000000014</v>
      </c>
      <c r="Y80">
        <f t="shared" si="11"/>
        <v>2271.567500000001</v>
      </c>
      <c r="Z80" s="8">
        <f t="shared" si="12"/>
        <v>0.25099035486484472</v>
      </c>
      <c r="AA80" t="str">
        <f t="shared" si="13"/>
        <v>July</v>
      </c>
      <c r="AB80">
        <f t="shared" si="14"/>
        <v>2025</v>
      </c>
      <c r="AC80" t="str">
        <f t="shared" si="15"/>
        <v>Clean</v>
      </c>
    </row>
    <row r="81" spans="1:29">
      <c r="A81" t="s">
        <v>345</v>
      </c>
      <c r="B81" s="2">
        <v>45927</v>
      </c>
      <c r="C81" s="2">
        <v>45933</v>
      </c>
      <c r="D81" s="3">
        <f t="shared" si="8"/>
        <v>6</v>
      </c>
      <c r="E81" t="s">
        <v>346</v>
      </c>
      <c r="F81" t="s">
        <v>162</v>
      </c>
      <c r="G81" t="s">
        <v>95</v>
      </c>
      <c r="H81" t="s">
        <v>54</v>
      </c>
      <c r="I81" t="s">
        <v>247</v>
      </c>
      <c r="J81" t="s">
        <v>248</v>
      </c>
      <c r="K81" t="s">
        <v>41</v>
      </c>
      <c r="L81" t="s">
        <v>66</v>
      </c>
      <c r="M81" t="s">
        <v>347</v>
      </c>
      <c r="N81" t="s">
        <v>44</v>
      </c>
      <c r="O81">
        <v>9</v>
      </c>
      <c r="P81">
        <v>4131.5200000000004</v>
      </c>
      <c r="Q81" s="6">
        <v>0.1</v>
      </c>
      <c r="R81">
        <v>33465.31</v>
      </c>
      <c r="S81">
        <v>24781.26</v>
      </c>
      <c r="T81">
        <v>8684.0499999999993</v>
      </c>
      <c r="U81" t="s">
        <v>32</v>
      </c>
      <c r="V81" t="s">
        <v>33</v>
      </c>
      <c r="W81" s="8">
        <f t="shared" si="9"/>
        <v>0.1</v>
      </c>
      <c r="X81">
        <f t="shared" si="10"/>
        <v>33465.312000000005</v>
      </c>
      <c r="Y81">
        <f t="shared" si="11"/>
        <v>8684.052000000007</v>
      </c>
      <c r="Z81" s="8">
        <f t="shared" si="12"/>
        <v>0.25949412932411942</v>
      </c>
      <c r="AA81" t="str">
        <f t="shared" si="13"/>
        <v>September</v>
      </c>
      <c r="AB81">
        <f t="shared" si="14"/>
        <v>2025</v>
      </c>
      <c r="AC81" t="str">
        <f t="shared" si="15"/>
        <v>Clean</v>
      </c>
    </row>
    <row r="82" spans="1:29">
      <c r="A82" t="s">
        <v>348</v>
      </c>
      <c r="B82" s="2">
        <v>45514</v>
      </c>
      <c r="C82" s="2">
        <v>45518</v>
      </c>
      <c r="D82" s="3">
        <f t="shared" si="8"/>
        <v>4</v>
      </c>
      <c r="E82" t="s">
        <v>349</v>
      </c>
      <c r="F82" t="s">
        <v>128</v>
      </c>
      <c r="G82" t="s">
        <v>37</v>
      </c>
      <c r="H82" t="s">
        <v>25</v>
      </c>
      <c r="I82" t="s">
        <v>350</v>
      </c>
      <c r="J82" t="s">
        <v>351</v>
      </c>
      <c r="K82" t="s">
        <v>28</v>
      </c>
      <c r="L82" t="s">
        <v>124</v>
      </c>
      <c r="M82" t="s">
        <v>352</v>
      </c>
      <c r="N82" t="s">
        <v>31</v>
      </c>
      <c r="O82">
        <v>4</v>
      </c>
      <c r="P82">
        <v>1182.32</v>
      </c>
      <c r="Q82" s="6">
        <v>0.1</v>
      </c>
      <c r="R82">
        <v>4256.3500000000004</v>
      </c>
      <c r="S82">
        <v>2495.33</v>
      </c>
      <c r="T82">
        <v>1761.02</v>
      </c>
      <c r="U82" t="s">
        <v>111</v>
      </c>
      <c r="V82" t="s">
        <v>103</v>
      </c>
      <c r="W82" s="8">
        <f t="shared" si="9"/>
        <v>0.1</v>
      </c>
      <c r="X82">
        <f t="shared" si="10"/>
        <v>4256.3519999999999</v>
      </c>
      <c r="Y82">
        <f t="shared" si="11"/>
        <v>1761.0219999999999</v>
      </c>
      <c r="Z82" s="8">
        <f t="shared" si="12"/>
        <v>0.41373974708858663</v>
      </c>
      <c r="AA82" t="str">
        <f t="shared" si="13"/>
        <v>August</v>
      </c>
      <c r="AB82">
        <f t="shared" si="14"/>
        <v>2024</v>
      </c>
      <c r="AC82" t="str">
        <f t="shared" si="15"/>
        <v>Clean</v>
      </c>
    </row>
    <row r="83" spans="1:29">
      <c r="A83" t="s">
        <v>353</v>
      </c>
      <c r="B83" s="2">
        <v>45732</v>
      </c>
      <c r="C83" s="2">
        <v>45733</v>
      </c>
      <c r="D83" s="3">
        <f t="shared" si="8"/>
        <v>1</v>
      </c>
      <c r="E83" t="s">
        <v>354</v>
      </c>
      <c r="F83" t="s">
        <v>23</v>
      </c>
      <c r="G83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355</v>
      </c>
      <c r="N83" t="s">
        <v>44</v>
      </c>
      <c r="O83">
        <v>3</v>
      </c>
      <c r="P83">
        <v>1841.91</v>
      </c>
      <c r="Q83" s="7">
        <v>0</v>
      </c>
      <c r="R83">
        <v>5525.73</v>
      </c>
      <c r="S83">
        <v>3093.42</v>
      </c>
      <c r="T83">
        <v>2432.31</v>
      </c>
      <c r="U83" t="s">
        <v>32</v>
      </c>
      <c r="V83" t="s">
        <v>33</v>
      </c>
      <c r="W83" s="8">
        <f t="shared" si="9"/>
        <v>0</v>
      </c>
      <c r="X83">
        <f t="shared" si="10"/>
        <v>5525.7300000000005</v>
      </c>
      <c r="Y83">
        <f t="shared" si="11"/>
        <v>2432.3100000000004</v>
      </c>
      <c r="Z83" s="8">
        <f t="shared" si="12"/>
        <v>0.44017894468242208</v>
      </c>
      <c r="AA83" t="str">
        <f t="shared" si="13"/>
        <v>March</v>
      </c>
      <c r="AB83">
        <f t="shared" si="14"/>
        <v>2025</v>
      </c>
      <c r="AC83" t="str">
        <f t="shared" si="15"/>
        <v>Clean</v>
      </c>
    </row>
    <row r="84" spans="1:29">
      <c r="A84" t="s">
        <v>356</v>
      </c>
      <c r="B84" s="2">
        <v>45507</v>
      </c>
      <c r="C84" s="2">
        <v>45390</v>
      </c>
      <c r="D84" s="5">
        <f t="shared" si="8"/>
        <v>-117</v>
      </c>
      <c r="E84" t="s">
        <v>357</v>
      </c>
      <c r="F84" t="s">
        <v>53</v>
      </c>
      <c r="G84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358</v>
      </c>
      <c r="N84" t="s">
        <v>31</v>
      </c>
      <c r="O84">
        <v>6</v>
      </c>
      <c r="P84">
        <v>1001.73</v>
      </c>
      <c r="Q84" s="7">
        <v>0</v>
      </c>
      <c r="R84">
        <v>6010.38</v>
      </c>
      <c r="S84">
        <v>3762.85</v>
      </c>
      <c r="T84">
        <v>2247.5300000000002</v>
      </c>
      <c r="U84" t="s">
        <v>155</v>
      </c>
      <c r="V84" t="s">
        <v>103</v>
      </c>
      <c r="W84" s="8">
        <f t="shared" si="9"/>
        <v>0</v>
      </c>
      <c r="X84">
        <f t="shared" si="10"/>
        <v>6010.38</v>
      </c>
      <c r="Y84">
        <f t="shared" si="11"/>
        <v>2247.5300000000002</v>
      </c>
      <c r="Z84" s="8">
        <f t="shared" si="12"/>
        <v>0.37394141468592673</v>
      </c>
      <c r="AA84" t="str">
        <f t="shared" si="13"/>
        <v>August</v>
      </c>
      <c r="AB84">
        <f t="shared" si="14"/>
        <v>2024</v>
      </c>
      <c r="AC84" t="str">
        <f t="shared" si="15"/>
        <v>Warning</v>
      </c>
    </row>
    <row r="85" spans="1:29">
      <c r="A85" t="s">
        <v>359</v>
      </c>
      <c r="B85" s="2">
        <v>45591</v>
      </c>
      <c r="C85" s="2">
        <v>45594</v>
      </c>
      <c r="D85" s="3">
        <f t="shared" si="8"/>
        <v>3</v>
      </c>
      <c r="E85" t="s">
        <v>360</v>
      </c>
      <c r="F85" t="s">
        <v>89</v>
      </c>
      <c r="G8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361</v>
      </c>
      <c r="N85" t="s">
        <v>31</v>
      </c>
      <c r="O85">
        <v>9</v>
      </c>
      <c r="P85">
        <v>131.74</v>
      </c>
      <c r="Q85" s="6">
        <v>0.2</v>
      </c>
      <c r="R85">
        <v>948.53</v>
      </c>
      <c r="S85">
        <v>674.62</v>
      </c>
      <c r="T85">
        <v>273.91000000000003</v>
      </c>
      <c r="U85" t="s">
        <v>32</v>
      </c>
      <c r="V85" t="s">
        <v>33</v>
      </c>
      <c r="W85" s="8">
        <f t="shared" si="9"/>
        <v>0.2</v>
      </c>
      <c r="X85">
        <f t="shared" si="10"/>
        <v>948.52800000000013</v>
      </c>
      <c r="Y85">
        <f t="shared" si="11"/>
        <v>273.90800000000013</v>
      </c>
      <c r="Z85" s="8">
        <f t="shared" si="12"/>
        <v>0.28877165460587362</v>
      </c>
      <c r="AA85" t="str">
        <f t="shared" si="13"/>
        <v>October</v>
      </c>
      <c r="AB85">
        <f t="shared" si="14"/>
        <v>2024</v>
      </c>
      <c r="AC85" t="str">
        <f t="shared" si="15"/>
        <v>Clean</v>
      </c>
    </row>
    <row r="86" spans="1:29">
      <c r="A86" t="s">
        <v>362</v>
      </c>
      <c r="B86" s="2">
        <v>45566</v>
      </c>
      <c r="C86" s="2">
        <v>45568</v>
      </c>
      <c r="D86" s="3">
        <f t="shared" si="8"/>
        <v>2</v>
      </c>
      <c r="E86" t="s">
        <v>363</v>
      </c>
      <c r="F86" t="s">
        <v>141</v>
      </c>
      <c r="G86" t="s">
        <v>90</v>
      </c>
      <c r="H86" t="s">
        <v>54</v>
      </c>
      <c r="I86" t="s">
        <v>247</v>
      </c>
      <c r="J86" t="s">
        <v>248</v>
      </c>
      <c r="K86" t="s">
        <v>74</v>
      </c>
      <c r="L86" t="s">
        <v>171</v>
      </c>
      <c r="M86" t="s">
        <v>364</v>
      </c>
      <c r="N86" t="s">
        <v>31</v>
      </c>
      <c r="O86">
        <v>6</v>
      </c>
      <c r="P86">
        <v>570.28</v>
      </c>
      <c r="Q86" s="6">
        <v>0.2</v>
      </c>
      <c r="R86">
        <v>2737.34</v>
      </c>
      <c r="S86">
        <v>2085.44</v>
      </c>
      <c r="T86">
        <v>651.9</v>
      </c>
      <c r="U86" t="s">
        <v>32</v>
      </c>
      <c r="V86" t="s">
        <v>33</v>
      </c>
      <c r="W86" s="8">
        <f t="shared" si="9"/>
        <v>0.2</v>
      </c>
      <c r="X86">
        <f t="shared" si="10"/>
        <v>2737.3440000000001</v>
      </c>
      <c r="Y86">
        <f t="shared" si="11"/>
        <v>651.904</v>
      </c>
      <c r="Z86" s="8">
        <f t="shared" si="12"/>
        <v>0.23815201889130486</v>
      </c>
      <c r="AA86" t="str">
        <f t="shared" si="13"/>
        <v>October</v>
      </c>
      <c r="AB86">
        <f t="shared" si="14"/>
        <v>2024</v>
      </c>
      <c r="AC86" t="str">
        <f t="shared" si="15"/>
        <v>Clean</v>
      </c>
    </row>
    <row r="87" spans="1:29">
      <c r="A87" t="s">
        <v>365</v>
      </c>
      <c r="B87" s="2">
        <v>45503</v>
      </c>
      <c r="C87" s="2">
        <v>45509</v>
      </c>
      <c r="D87" s="3">
        <f t="shared" si="8"/>
        <v>6</v>
      </c>
      <c r="E87" t="s">
        <v>366</v>
      </c>
      <c r="F87" t="s">
        <v>264</v>
      </c>
      <c r="G87" t="s">
        <v>90</v>
      </c>
      <c r="H87" t="s">
        <v>25</v>
      </c>
      <c r="I87" t="s">
        <v>350</v>
      </c>
      <c r="J87" t="s">
        <v>351</v>
      </c>
      <c r="K87" t="s">
        <v>28</v>
      </c>
      <c r="L87" t="s">
        <v>153</v>
      </c>
      <c r="M87" t="s">
        <v>367</v>
      </c>
      <c r="N87" t="s">
        <v>59</v>
      </c>
      <c r="O87">
        <v>1</v>
      </c>
      <c r="P87">
        <v>608.64</v>
      </c>
      <c r="Q87" s="7">
        <v>0</v>
      </c>
      <c r="R87">
        <v>608.64</v>
      </c>
      <c r="S87">
        <v>343.99</v>
      </c>
      <c r="T87">
        <v>264.64999999999998</v>
      </c>
      <c r="U87" t="s">
        <v>32</v>
      </c>
      <c r="V87" t="s">
        <v>68</v>
      </c>
      <c r="W87" s="8">
        <f t="shared" si="9"/>
        <v>0</v>
      </c>
      <c r="X87">
        <f t="shared" si="10"/>
        <v>608.64</v>
      </c>
      <c r="Y87">
        <f t="shared" si="11"/>
        <v>264.64999999999998</v>
      </c>
      <c r="Z87" s="8">
        <f t="shared" si="12"/>
        <v>0.43482189800210302</v>
      </c>
      <c r="AA87" t="str">
        <f t="shared" si="13"/>
        <v>July</v>
      </c>
      <c r="AB87">
        <f t="shared" si="14"/>
        <v>2024</v>
      </c>
      <c r="AC87" t="str">
        <f t="shared" si="15"/>
        <v>Clean</v>
      </c>
    </row>
    <row r="88" spans="1:29">
      <c r="A88" t="s">
        <v>368</v>
      </c>
      <c r="B88" s="2">
        <v>45474</v>
      </c>
      <c r="C88" s="2">
        <v>45474</v>
      </c>
      <c r="D88" s="3">
        <f t="shared" si="8"/>
        <v>0</v>
      </c>
      <c r="E88" t="s">
        <v>369</v>
      </c>
      <c r="F88" t="s">
        <v>62</v>
      </c>
      <c r="G88" t="s">
        <v>37</v>
      </c>
      <c r="H88" t="s">
        <v>25</v>
      </c>
      <c r="I88" t="s">
        <v>350</v>
      </c>
      <c r="J88" t="s">
        <v>351</v>
      </c>
      <c r="K88" t="s">
        <v>74</v>
      </c>
      <c r="L88" t="s">
        <v>80</v>
      </c>
      <c r="M88" t="s">
        <v>370</v>
      </c>
      <c r="N88" t="s">
        <v>31</v>
      </c>
      <c r="O88">
        <v>3</v>
      </c>
      <c r="P88">
        <v>885.28</v>
      </c>
      <c r="Q88" s="6">
        <v>0.1</v>
      </c>
      <c r="R88">
        <v>2390.2600000000002</v>
      </c>
      <c r="S88">
        <v>1495.94</v>
      </c>
      <c r="T88">
        <v>894.32</v>
      </c>
      <c r="U88" t="s">
        <v>102</v>
      </c>
      <c r="V88" t="s">
        <v>68</v>
      </c>
      <c r="W88" s="8">
        <f t="shared" si="9"/>
        <v>0.1</v>
      </c>
      <c r="X88">
        <f t="shared" si="10"/>
        <v>2390.2560000000003</v>
      </c>
      <c r="Y88">
        <f t="shared" si="11"/>
        <v>894.31600000000026</v>
      </c>
      <c r="Z88" s="8">
        <f t="shared" si="12"/>
        <v>0.37415071858411825</v>
      </c>
      <c r="AA88" t="str">
        <f t="shared" si="13"/>
        <v>July</v>
      </c>
      <c r="AB88">
        <f t="shared" si="14"/>
        <v>2024</v>
      </c>
      <c r="AC88" t="str">
        <f t="shared" si="15"/>
        <v>Clean</v>
      </c>
    </row>
    <row r="89" spans="1:29">
      <c r="A89" t="s">
        <v>371</v>
      </c>
      <c r="B89" s="2">
        <v>45330</v>
      </c>
      <c r="C89" s="2">
        <v>45507</v>
      </c>
      <c r="D89" s="3">
        <f t="shared" si="8"/>
        <v>177</v>
      </c>
      <c r="E89" t="s">
        <v>372</v>
      </c>
      <c r="F89" t="s">
        <v>71</v>
      </c>
      <c r="G89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373</v>
      </c>
      <c r="N89" t="s">
        <v>59</v>
      </c>
      <c r="O89">
        <v>7</v>
      </c>
      <c r="P89">
        <v>3345.22</v>
      </c>
      <c r="Q89" s="7">
        <v>0</v>
      </c>
      <c r="R89">
        <v>23416.54</v>
      </c>
      <c r="S89">
        <v>15490.89</v>
      </c>
      <c r="T89">
        <v>7925.65</v>
      </c>
      <c r="U89" t="s">
        <v>32</v>
      </c>
      <c r="V89" t="s">
        <v>33</v>
      </c>
      <c r="W89" s="8">
        <f t="shared" si="9"/>
        <v>0</v>
      </c>
      <c r="X89">
        <f t="shared" si="10"/>
        <v>23416.539999999997</v>
      </c>
      <c r="Y89">
        <f t="shared" si="11"/>
        <v>7925.6499999999978</v>
      </c>
      <c r="Z89" s="8">
        <f t="shared" si="12"/>
        <v>0.33846375254414185</v>
      </c>
      <c r="AA89" t="str">
        <f t="shared" si="13"/>
        <v>February</v>
      </c>
      <c r="AB89">
        <f t="shared" si="14"/>
        <v>2024</v>
      </c>
      <c r="AC89" t="str">
        <f t="shared" si="15"/>
        <v>Clean</v>
      </c>
    </row>
    <row r="90" spans="1:29">
      <c r="A90" t="s">
        <v>374</v>
      </c>
      <c r="B90" s="2">
        <v>45375</v>
      </c>
      <c r="C90" s="2">
        <v>45378</v>
      </c>
      <c r="D90" s="3">
        <f t="shared" si="8"/>
        <v>3</v>
      </c>
      <c r="E90" t="s">
        <v>375</v>
      </c>
      <c r="F90" t="s">
        <v>141</v>
      </c>
      <c r="G90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376</v>
      </c>
      <c r="N90" t="s">
        <v>59</v>
      </c>
      <c r="O90">
        <v>2</v>
      </c>
      <c r="P90">
        <v>3284.75</v>
      </c>
      <c r="Q90" s="6">
        <v>0.05</v>
      </c>
      <c r="R90">
        <v>6241.02</v>
      </c>
      <c r="S90">
        <v>5345.88</v>
      </c>
      <c r="T90">
        <v>895.14</v>
      </c>
      <c r="U90" t="s">
        <v>32</v>
      </c>
      <c r="V90" t="s">
        <v>33</v>
      </c>
      <c r="W90" s="8">
        <f t="shared" si="9"/>
        <v>0.05</v>
      </c>
      <c r="X90">
        <f t="shared" si="10"/>
        <v>6241.0249999999996</v>
      </c>
      <c r="Y90">
        <f t="shared" si="11"/>
        <v>895.14499999999953</v>
      </c>
      <c r="Z90" s="8">
        <f t="shared" si="12"/>
        <v>0.14342916427990587</v>
      </c>
      <c r="AA90" t="str">
        <f t="shared" si="13"/>
        <v>March</v>
      </c>
      <c r="AB90">
        <f t="shared" si="14"/>
        <v>2024</v>
      </c>
      <c r="AC90" t="str">
        <f t="shared" si="15"/>
        <v>Clean</v>
      </c>
    </row>
    <row r="91" spans="1:29">
      <c r="A91" t="s">
        <v>377</v>
      </c>
      <c r="B91" s="2">
        <v>45540</v>
      </c>
      <c r="C91" s="2">
        <v>45540</v>
      </c>
      <c r="D91" s="3">
        <f t="shared" si="8"/>
        <v>0</v>
      </c>
      <c r="E91" t="s">
        <v>378</v>
      </c>
      <c r="F91" t="s">
        <v>264</v>
      </c>
      <c r="G91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379</v>
      </c>
      <c r="N91" t="s">
        <v>59</v>
      </c>
      <c r="O91">
        <v>7</v>
      </c>
      <c r="P91">
        <v>3761.09</v>
      </c>
      <c r="Q91" s="6">
        <v>0.2</v>
      </c>
      <c r="R91">
        <v>21062.1</v>
      </c>
      <c r="S91">
        <v>12057.13</v>
      </c>
      <c r="T91">
        <v>9004.9699999999993</v>
      </c>
      <c r="U91" t="s">
        <v>111</v>
      </c>
      <c r="V91" t="s">
        <v>68</v>
      </c>
      <c r="W91" s="8">
        <f t="shared" si="9"/>
        <v>0.2</v>
      </c>
      <c r="X91">
        <f t="shared" si="10"/>
        <v>21062.104000000003</v>
      </c>
      <c r="Y91">
        <f t="shared" si="11"/>
        <v>9004.9740000000038</v>
      </c>
      <c r="Z91" s="8">
        <f t="shared" si="12"/>
        <v>0.42754389589947911</v>
      </c>
      <c r="AA91" t="str">
        <f t="shared" si="13"/>
        <v>September</v>
      </c>
      <c r="AB91">
        <f t="shared" si="14"/>
        <v>2024</v>
      </c>
      <c r="AC91" t="str">
        <f t="shared" si="15"/>
        <v>Clean</v>
      </c>
    </row>
    <row r="92" spans="1:29">
      <c r="A92" s="4" t="s">
        <v>380</v>
      </c>
      <c r="B92" s="2">
        <v>45893</v>
      </c>
      <c r="C92" s="2">
        <v>45898</v>
      </c>
      <c r="D92" s="3">
        <f t="shared" si="8"/>
        <v>5</v>
      </c>
      <c r="E92" t="s">
        <v>381</v>
      </c>
      <c r="F92" t="s">
        <v>128</v>
      </c>
      <c r="G92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382</v>
      </c>
      <c r="N92" t="s">
        <v>50</v>
      </c>
      <c r="O92">
        <v>3</v>
      </c>
      <c r="P92">
        <v>3703.96</v>
      </c>
      <c r="Q92" s="6">
        <v>0.15</v>
      </c>
      <c r="R92">
        <v>9445.1</v>
      </c>
      <c r="S92">
        <v>5586.28</v>
      </c>
      <c r="T92">
        <v>3858.82</v>
      </c>
      <c r="U92" t="s">
        <v>32</v>
      </c>
      <c r="V92" t="s">
        <v>33</v>
      </c>
      <c r="W92" s="8">
        <f t="shared" si="9"/>
        <v>0.15</v>
      </c>
      <c r="X92">
        <f t="shared" si="10"/>
        <v>9445.098</v>
      </c>
      <c r="Y92">
        <f t="shared" si="11"/>
        <v>3858.8180000000002</v>
      </c>
      <c r="Z92" s="8">
        <f t="shared" si="12"/>
        <v>0.40855245758170006</v>
      </c>
      <c r="AA92" t="str">
        <f t="shared" si="13"/>
        <v>August</v>
      </c>
      <c r="AB92">
        <f t="shared" si="14"/>
        <v>2025</v>
      </c>
      <c r="AC92" t="str">
        <f t="shared" si="15"/>
        <v>Clean</v>
      </c>
    </row>
    <row r="93" spans="1:29">
      <c r="A93" t="s">
        <v>383</v>
      </c>
      <c r="B93" s="2">
        <v>45691</v>
      </c>
      <c r="C93" s="2">
        <v>45724</v>
      </c>
      <c r="D93" s="3">
        <f t="shared" si="8"/>
        <v>33</v>
      </c>
      <c r="E93" t="s">
        <v>384</v>
      </c>
      <c r="F93" t="s">
        <v>132</v>
      </c>
      <c r="G93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385</v>
      </c>
      <c r="N93" t="s">
        <v>31</v>
      </c>
      <c r="O93">
        <v>9</v>
      </c>
      <c r="P93">
        <v>269.68</v>
      </c>
      <c r="Q93" s="7">
        <v>0</v>
      </c>
      <c r="R93">
        <v>2427.12</v>
      </c>
      <c r="S93">
        <v>1538.35</v>
      </c>
      <c r="T93">
        <v>804.53</v>
      </c>
      <c r="U93" t="s">
        <v>32</v>
      </c>
      <c r="V93" t="s">
        <v>33</v>
      </c>
      <c r="W93" s="8">
        <f t="shared" si="9"/>
        <v>0</v>
      </c>
      <c r="X93">
        <f t="shared" si="10"/>
        <v>2427.12</v>
      </c>
      <c r="Y93">
        <f t="shared" si="11"/>
        <v>888.77</v>
      </c>
      <c r="Z93" s="8">
        <f t="shared" si="12"/>
        <v>0.36618296581957216</v>
      </c>
      <c r="AA93" t="str">
        <f t="shared" si="13"/>
        <v>February</v>
      </c>
      <c r="AB93">
        <f t="shared" si="14"/>
        <v>2025</v>
      </c>
      <c r="AC93" t="str">
        <f t="shared" si="15"/>
        <v>Clean</v>
      </c>
    </row>
    <row r="94" spans="1:29">
      <c r="A94" t="s">
        <v>386</v>
      </c>
      <c r="B94" s="2">
        <v>45680</v>
      </c>
      <c r="C94" s="2">
        <v>45683</v>
      </c>
      <c r="D94" s="3">
        <f t="shared" si="8"/>
        <v>3</v>
      </c>
      <c r="E94" t="s">
        <v>387</v>
      </c>
      <c r="F94" t="s">
        <v>128</v>
      </c>
      <c r="G94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388</v>
      </c>
      <c r="N94" t="s">
        <v>59</v>
      </c>
      <c r="O94">
        <v>9</v>
      </c>
      <c r="P94">
        <v>4458.26</v>
      </c>
      <c r="Q94" s="6">
        <v>0.1</v>
      </c>
      <c r="R94">
        <v>36111.910000000003</v>
      </c>
      <c r="S94">
        <v>29194.5</v>
      </c>
      <c r="T94">
        <v>6917.41</v>
      </c>
      <c r="U94" t="s">
        <v>32</v>
      </c>
      <c r="V94" t="s">
        <v>33</v>
      </c>
      <c r="W94" s="8">
        <f t="shared" si="9"/>
        <v>0.1</v>
      </c>
      <c r="X94">
        <f t="shared" si="10"/>
        <v>36111.906000000003</v>
      </c>
      <c r="Y94">
        <f t="shared" si="11"/>
        <v>6917.4060000000027</v>
      </c>
      <c r="Z94" s="8">
        <f t="shared" si="12"/>
        <v>0.19155471882320479</v>
      </c>
      <c r="AA94" t="str">
        <f t="shared" si="13"/>
        <v>January</v>
      </c>
      <c r="AB94">
        <f t="shared" si="14"/>
        <v>2025</v>
      </c>
      <c r="AC94" t="str">
        <f t="shared" si="15"/>
        <v>Clean</v>
      </c>
    </row>
    <row r="95" spans="1:29">
      <c r="A95" t="s">
        <v>389</v>
      </c>
      <c r="B95" s="2">
        <v>45298</v>
      </c>
      <c r="C95" s="2">
        <v>45304</v>
      </c>
      <c r="D95" s="3">
        <f t="shared" si="8"/>
        <v>6</v>
      </c>
      <c r="E95" t="s">
        <v>390</v>
      </c>
      <c r="F95" t="s">
        <v>141</v>
      </c>
      <c r="G9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391</v>
      </c>
      <c r="N95" t="s">
        <v>59</v>
      </c>
      <c r="O95">
        <v>7</v>
      </c>
      <c r="P95">
        <v>2788.97</v>
      </c>
      <c r="Q95" s="7">
        <v>-0.09</v>
      </c>
      <c r="R95">
        <v>19522.79</v>
      </c>
      <c r="S95">
        <v>12455.78</v>
      </c>
      <c r="T95">
        <v>7067.01</v>
      </c>
      <c r="U95" t="s">
        <v>32</v>
      </c>
      <c r="V95" t="s">
        <v>33</v>
      </c>
      <c r="W95" s="8">
        <f t="shared" si="9"/>
        <v>-0.09</v>
      </c>
      <c r="X95">
        <f t="shared" si="10"/>
        <v>21279.841099999998</v>
      </c>
      <c r="Y95">
        <f t="shared" si="11"/>
        <v>8824.0610999999972</v>
      </c>
      <c r="Z95" s="8">
        <f t="shared" si="12"/>
        <v>0.41466762174272054</v>
      </c>
      <c r="AA95" t="str">
        <f t="shared" si="13"/>
        <v>January</v>
      </c>
      <c r="AB95">
        <f t="shared" si="14"/>
        <v>2024</v>
      </c>
      <c r="AC95" t="str">
        <f t="shared" si="15"/>
        <v>Invalid</v>
      </c>
    </row>
    <row r="96" spans="1:29">
      <c r="A96" t="s">
        <v>392</v>
      </c>
      <c r="B96" s="2">
        <v>45541</v>
      </c>
      <c r="C96" s="2">
        <v>45544</v>
      </c>
      <c r="D96" s="3">
        <f t="shared" si="8"/>
        <v>3</v>
      </c>
      <c r="E96" t="s">
        <v>393</v>
      </c>
      <c r="F96" t="s">
        <v>162</v>
      </c>
      <c r="G96" t="s">
        <v>24</v>
      </c>
      <c r="H96" t="s">
        <v>25</v>
      </c>
      <c r="I96" t="s">
        <v>236</v>
      </c>
      <c r="J96" t="s">
        <v>237</v>
      </c>
      <c r="K96" t="s">
        <v>74</v>
      </c>
      <c r="L96" t="s">
        <v>171</v>
      </c>
      <c r="M96" t="s">
        <v>394</v>
      </c>
      <c r="N96" t="s">
        <v>31</v>
      </c>
      <c r="O96">
        <v>7</v>
      </c>
      <c r="P96">
        <v>3781.53</v>
      </c>
      <c r="Q96" s="7">
        <v>0</v>
      </c>
      <c r="R96">
        <v>26470.71</v>
      </c>
      <c r="S96">
        <v>21367.599999999999</v>
      </c>
      <c r="T96">
        <v>5103.1099999999997</v>
      </c>
      <c r="U96" t="s">
        <v>111</v>
      </c>
      <c r="V96" t="s">
        <v>68</v>
      </c>
      <c r="W96" s="8">
        <f t="shared" si="9"/>
        <v>0</v>
      </c>
      <c r="X96">
        <f t="shared" si="10"/>
        <v>26470.710000000003</v>
      </c>
      <c r="Y96">
        <f t="shared" si="11"/>
        <v>5103.1100000000042</v>
      </c>
      <c r="Z96" s="8">
        <f t="shared" si="12"/>
        <v>0.19278326875251944</v>
      </c>
      <c r="AA96" t="str">
        <f t="shared" si="13"/>
        <v>September</v>
      </c>
      <c r="AB96">
        <f t="shared" si="14"/>
        <v>2024</v>
      </c>
      <c r="AC96" t="str">
        <f t="shared" si="15"/>
        <v>Clean</v>
      </c>
    </row>
    <row r="97" spans="1:29">
      <c r="A97" t="s">
        <v>395</v>
      </c>
      <c r="B97" s="2">
        <v>45786</v>
      </c>
      <c r="C97" s="2">
        <v>45910</v>
      </c>
      <c r="D97" s="3">
        <f t="shared" si="8"/>
        <v>124</v>
      </c>
      <c r="E97" t="s">
        <v>396</v>
      </c>
      <c r="F97" t="s">
        <v>132</v>
      </c>
      <c r="G97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397</v>
      </c>
      <c r="N97" t="s">
        <v>44</v>
      </c>
      <c r="O97">
        <v>6</v>
      </c>
      <c r="P97">
        <v>1754.13</v>
      </c>
      <c r="Q97" s="7">
        <v>0</v>
      </c>
      <c r="R97">
        <v>10524.78</v>
      </c>
      <c r="S97">
        <v>8841.0499999999993</v>
      </c>
      <c r="T97">
        <v>1683.73</v>
      </c>
      <c r="U97" t="s">
        <v>32</v>
      </c>
      <c r="V97" t="s">
        <v>33</v>
      </c>
      <c r="W97" s="8">
        <f t="shared" si="9"/>
        <v>0</v>
      </c>
      <c r="X97">
        <f t="shared" si="10"/>
        <v>10524.78</v>
      </c>
      <c r="Y97">
        <f t="shared" si="11"/>
        <v>1683.7300000000014</v>
      </c>
      <c r="Z97" s="8">
        <f t="shared" si="12"/>
        <v>0.15997769074507984</v>
      </c>
      <c r="AA97" t="str">
        <f t="shared" si="13"/>
        <v>May</v>
      </c>
      <c r="AB97">
        <f t="shared" si="14"/>
        <v>2025</v>
      </c>
      <c r="AC97" t="str">
        <f t="shared" si="15"/>
        <v>Clean</v>
      </c>
    </row>
    <row r="98" spans="1:29">
      <c r="A98" t="s">
        <v>398</v>
      </c>
      <c r="B98" s="2">
        <v>45448</v>
      </c>
      <c r="C98" s="2">
        <v>45479</v>
      </c>
      <c r="D98" s="3">
        <f t="shared" si="8"/>
        <v>31</v>
      </c>
      <c r="E98" t="s">
        <v>399</v>
      </c>
      <c r="F98" t="s">
        <v>118</v>
      </c>
      <c r="G98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400</v>
      </c>
      <c r="N98" t="s">
        <v>31</v>
      </c>
      <c r="O98">
        <v>2</v>
      </c>
      <c r="P98">
        <v>2259.2399999999998</v>
      </c>
      <c r="Q98" s="6">
        <v>0.15</v>
      </c>
      <c r="R98">
        <v>3840.71</v>
      </c>
      <c r="S98">
        <v>2516.29</v>
      </c>
      <c r="T98">
        <v>1324.42</v>
      </c>
      <c r="U98" t="s">
        <v>32</v>
      </c>
      <c r="V98" t="s">
        <v>33</v>
      </c>
      <c r="W98" s="8">
        <f t="shared" si="9"/>
        <v>0.15</v>
      </c>
      <c r="X98">
        <f t="shared" si="10"/>
        <v>3840.7079999999996</v>
      </c>
      <c r="Y98">
        <f t="shared" si="11"/>
        <v>1324.4179999999997</v>
      </c>
      <c r="Z98" s="8">
        <f t="shared" si="12"/>
        <v>0.34483694152224009</v>
      </c>
      <c r="AA98" t="str">
        <f t="shared" si="13"/>
        <v>June</v>
      </c>
      <c r="AB98">
        <f t="shared" si="14"/>
        <v>2024</v>
      </c>
      <c r="AC98" t="str">
        <f t="shared" si="15"/>
        <v>Clean</v>
      </c>
    </row>
    <row r="99" spans="1:29">
      <c r="A99" t="s">
        <v>401</v>
      </c>
      <c r="B99" s="2">
        <v>45877</v>
      </c>
      <c r="C99" s="2">
        <v>45880</v>
      </c>
      <c r="D99" s="3">
        <f t="shared" si="8"/>
        <v>3</v>
      </c>
      <c r="E99" t="s">
        <v>402</v>
      </c>
      <c r="F99" t="s">
        <v>162</v>
      </c>
      <c r="G99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403</v>
      </c>
      <c r="N99" t="s">
        <v>44</v>
      </c>
      <c r="O99">
        <v>5</v>
      </c>
      <c r="P99">
        <v>3602.36</v>
      </c>
      <c r="Q99" s="6">
        <v>0.2</v>
      </c>
      <c r="R99">
        <v>14409.44</v>
      </c>
      <c r="S99">
        <v>8809.9699999999993</v>
      </c>
      <c r="T99">
        <v>5599.47</v>
      </c>
      <c r="U99" t="s">
        <v>111</v>
      </c>
      <c r="V99" t="s">
        <v>103</v>
      </c>
      <c r="W99" s="8">
        <f t="shared" si="9"/>
        <v>0.2</v>
      </c>
      <c r="X99">
        <f t="shared" si="10"/>
        <v>14409.44</v>
      </c>
      <c r="Y99">
        <f t="shared" si="11"/>
        <v>5599.4700000000012</v>
      </c>
      <c r="Z99" s="8">
        <f t="shared" si="12"/>
        <v>0.38859733619071951</v>
      </c>
      <c r="AA99" t="str">
        <f t="shared" si="13"/>
        <v>August</v>
      </c>
      <c r="AB99">
        <f t="shared" si="14"/>
        <v>2025</v>
      </c>
      <c r="AC99" t="str">
        <f t="shared" si="15"/>
        <v>Clean</v>
      </c>
    </row>
    <row r="100" spans="1:29">
      <c r="A100" t="s">
        <v>404</v>
      </c>
      <c r="B100" s="2">
        <v>45317</v>
      </c>
      <c r="C100" s="2">
        <v>45323</v>
      </c>
      <c r="D100" s="3">
        <f t="shared" si="8"/>
        <v>6</v>
      </c>
      <c r="E100" t="s">
        <v>405</v>
      </c>
      <c r="F100" t="s">
        <v>141</v>
      </c>
      <c r="G100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406</v>
      </c>
      <c r="N100" s="4" t="s">
        <v>2760</v>
      </c>
      <c r="O100">
        <v>8</v>
      </c>
      <c r="P100">
        <v>2108.9299999999998</v>
      </c>
      <c r="Q100" s="6">
        <v>0.1</v>
      </c>
      <c r="R100">
        <v>15184.3</v>
      </c>
      <c r="S100">
        <v>11270.74</v>
      </c>
      <c r="T100">
        <v>3913.56</v>
      </c>
      <c r="U100" t="s">
        <v>32</v>
      </c>
      <c r="V100" t="s">
        <v>33</v>
      </c>
      <c r="W100" s="8">
        <f t="shared" si="9"/>
        <v>0.1</v>
      </c>
      <c r="X100">
        <f t="shared" si="10"/>
        <v>15184.295999999998</v>
      </c>
      <c r="Y100">
        <f t="shared" si="11"/>
        <v>3913.5559999999987</v>
      </c>
      <c r="Z100" s="8">
        <f t="shared" si="12"/>
        <v>0.25773707256497103</v>
      </c>
      <c r="AA100" t="str">
        <f t="shared" si="13"/>
        <v>January</v>
      </c>
      <c r="AB100">
        <f t="shared" si="14"/>
        <v>2024</v>
      </c>
      <c r="AC100" t="str">
        <f t="shared" si="15"/>
        <v>Clean</v>
      </c>
    </row>
    <row r="101" spans="1:29">
      <c r="A101" t="s">
        <v>407</v>
      </c>
      <c r="B101" s="2">
        <v>45962</v>
      </c>
      <c r="C101" s="2">
        <v>45962</v>
      </c>
      <c r="D101" s="3">
        <f t="shared" si="8"/>
        <v>0</v>
      </c>
      <c r="E101" t="s">
        <v>408</v>
      </c>
      <c r="F101" t="s">
        <v>89</v>
      </c>
      <c r="G101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409</v>
      </c>
      <c r="N101" t="s">
        <v>44</v>
      </c>
      <c r="O101">
        <v>3</v>
      </c>
      <c r="P101">
        <v>2165.29</v>
      </c>
      <c r="Q101" s="7">
        <v>0</v>
      </c>
      <c r="R101">
        <v>6495.87</v>
      </c>
      <c r="S101">
        <v>4700.8900000000003</v>
      </c>
      <c r="T101">
        <v>1794.98</v>
      </c>
      <c r="U101" t="s">
        <v>32</v>
      </c>
      <c r="V101" t="s">
        <v>33</v>
      </c>
      <c r="W101" s="8">
        <f t="shared" si="9"/>
        <v>0</v>
      </c>
      <c r="X101">
        <f t="shared" si="10"/>
        <v>6495.87</v>
      </c>
      <c r="Y101">
        <f t="shared" si="11"/>
        <v>1794.9799999999996</v>
      </c>
      <c r="Z101" s="8">
        <f t="shared" si="12"/>
        <v>0.27632634273777024</v>
      </c>
      <c r="AA101" t="str">
        <f t="shared" si="13"/>
        <v>November</v>
      </c>
      <c r="AB101">
        <f t="shared" si="14"/>
        <v>2025</v>
      </c>
      <c r="AC101" t="str">
        <f t="shared" si="15"/>
        <v>Clean</v>
      </c>
    </row>
    <row r="102" spans="1:29">
      <c r="A102" t="s">
        <v>410</v>
      </c>
      <c r="B102" s="2">
        <v>45912</v>
      </c>
      <c r="C102" s="2">
        <v>45918</v>
      </c>
      <c r="D102" s="3">
        <f t="shared" si="8"/>
        <v>6</v>
      </c>
      <c r="E102" t="s">
        <v>411</v>
      </c>
      <c r="F102" t="s">
        <v>128</v>
      </c>
      <c r="G102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412</v>
      </c>
      <c r="N102" t="s">
        <v>59</v>
      </c>
      <c r="O102">
        <v>6</v>
      </c>
      <c r="P102">
        <v>1673.8</v>
      </c>
      <c r="Q102" s="6">
        <v>0.05</v>
      </c>
      <c r="R102">
        <v>9540.66</v>
      </c>
      <c r="S102">
        <v>5561.49</v>
      </c>
      <c r="T102">
        <v>3979.17</v>
      </c>
      <c r="U102" t="s">
        <v>32</v>
      </c>
      <c r="V102" t="s">
        <v>33</v>
      </c>
      <c r="W102" s="8">
        <f t="shared" si="9"/>
        <v>0.05</v>
      </c>
      <c r="X102">
        <f t="shared" si="10"/>
        <v>9540.659999999998</v>
      </c>
      <c r="Y102">
        <f t="shared" si="11"/>
        <v>3979.1699999999983</v>
      </c>
      <c r="Z102" s="8">
        <f t="shared" si="12"/>
        <v>0.41707491934520241</v>
      </c>
      <c r="AA102" t="str">
        <f t="shared" si="13"/>
        <v>September</v>
      </c>
      <c r="AB102">
        <f t="shared" si="14"/>
        <v>2025</v>
      </c>
      <c r="AC102" t="str">
        <f t="shared" si="15"/>
        <v>Clean</v>
      </c>
    </row>
    <row r="103" spans="1:29">
      <c r="A103" t="s">
        <v>413</v>
      </c>
      <c r="B103" s="2">
        <v>45465</v>
      </c>
      <c r="C103" s="2">
        <v>45469</v>
      </c>
      <c r="D103" s="3">
        <f t="shared" si="8"/>
        <v>4</v>
      </c>
      <c r="E103" t="s">
        <v>414</v>
      </c>
      <c r="F103" t="s">
        <v>141</v>
      </c>
      <c r="G103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415</v>
      </c>
      <c r="N103" t="s">
        <v>50</v>
      </c>
      <c r="O103">
        <v>5</v>
      </c>
      <c r="P103">
        <v>4396.5200000000004</v>
      </c>
      <c r="Q103" s="6">
        <v>0.25</v>
      </c>
      <c r="R103">
        <v>16486.95</v>
      </c>
      <c r="S103">
        <v>12054.14</v>
      </c>
      <c r="T103">
        <v>4432.8100000000004</v>
      </c>
      <c r="U103" t="s">
        <v>32</v>
      </c>
      <c r="V103" t="s">
        <v>33</v>
      </c>
      <c r="W103" s="8">
        <f t="shared" si="9"/>
        <v>0.25</v>
      </c>
      <c r="X103">
        <f t="shared" si="10"/>
        <v>16486.95</v>
      </c>
      <c r="Y103">
        <f t="shared" si="11"/>
        <v>4432.8100000000013</v>
      </c>
      <c r="Z103" s="8">
        <f t="shared" si="12"/>
        <v>0.26886780150361356</v>
      </c>
      <c r="AA103" t="str">
        <f t="shared" si="13"/>
        <v>June</v>
      </c>
      <c r="AB103">
        <f t="shared" si="14"/>
        <v>2024</v>
      </c>
      <c r="AC103" t="str">
        <f t="shared" si="15"/>
        <v>Clean</v>
      </c>
    </row>
    <row r="104" spans="1:29">
      <c r="A104" t="s">
        <v>416</v>
      </c>
      <c r="B104" s="2">
        <v>45850</v>
      </c>
      <c r="C104" s="2">
        <v>45854</v>
      </c>
      <c r="D104" s="3">
        <f t="shared" si="8"/>
        <v>4</v>
      </c>
      <c r="E104" t="s">
        <v>417</v>
      </c>
      <c r="F104" t="s">
        <v>71</v>
      </c>
      <c r="G104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418</v>
      </c>
      <c r="N104" t="s">
        <v>50</v>
      </c>
      <c r="O104">
        <v>4</v>
      </c>
      <c r="P104">
        <v>2865.71</v>
      </c>
      <c r="Q104" s="7">
        <v>0</v>
      </c>
      <c r="R104">
        <v>11462.84</v>
      </c>
      <c r="S104">
        <v>8979.7800000000007</v>
      </c>
      <c r="T104">
        <v>2483.06</v>
      </c>
      <c r="U104" t="s">
        <v>102</v>
      </c>
      <c r="V104" t="s">
        <v>68</v>
      </c>
      <c r="W104" s="8">
        <f t="shared" si="9"/>
        <v>0</v>
      </c>
      <c r="X104">
        <f t="shared" si="10"/>
        <v>11462.84</v>
      </c>
      <c r="Y104">
        <f t="shared" si="11"/>
        <v>2483.0599999999995</v>
      </c>
      <c r="Z104" s="8">
        <f t="shared" si="12"/>
        <v>0.21661822026653077</v>
      </c>
      <c r="AA104" t="str">
        <f t="shared" si="13"/>
        <v>July</v>
      </c>
      <c r="AB104">
        <f t="shared" si="14"/>
        <v>2025</v>
      </c>
      <c r="AC104" t="str">
        <f t="shared" si="15"/>
        <v>Clean</v>
      </c>
    </row>
    <row r="105" spans="1:29">
      <c r="A105" t="s">
        <v>419</v>
      </c>
      <c r="B105" s="2">
        <v>45779</v>
      </c>
      <c r="C105" s="2">
        <v>45787</v>
      </c>
      <c r="D105" s="3">
        <f t="shared" si="8"/>
        <v>8</v>
      </c>
      <c r="E105" t="s">
        <v>420</v>
      </c>
      <c r="F105" t="s">
        <v>264</v>
      </c>
      <c r="G10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421</v>
      </c>
      <c r="N105" t="s">
        <v>50</v>
      </c>
      <c r="O105">
        <v>4</v>
      </c>
      <c r="P105">
        <v>2440.34</v>
      </c>
      <c r="Q105" s="6">
        <v>0.2</v>
      </c>
      <c r="R105">
        <v>7809.09</v>
      </c>
      <c r="S105">
        <v>6657.75</v>
      </c>
      <c r="T105">
        <v>1151.3399999999999</v>
      </c>
      <c r="U105" t="s">
        <v>32</v>
      </c>
      <c r="V105" t="s">
        <v>33</v>
      </c>
      <c r="W105" s="8">
        <f t="shared" si="9"/>
        <v>0.2</v>
      </c>
      <c r="X105">
        <f t="shared" si="10"/>
        <v>7809.0880000000006</v>
      </c>
      <c r="Y105">
        <f t="shared" si="11"/>
        <v>1151.3380000000006</v>
      </c>
      <c r="Z105" s="8">
        <f t="shared" si="12"/>
        <v>0.14743565445798543</v>
      </c>
      <c r="AA105" t="str">
        <f t="shared" si="13"/>
        <v>May</v>
      </c>
      <c r="AB105">
        <f t="shared" si="14"/>
        <v>2025</v>
      </c>
      <c r="AC105" t="str">
        <f t="shared" si="15"/>
        <v>Clean</v>
      </c>
    </row>
    <row r="106" spans="1:29">
      <c r="A106" t="s">
        <v>422</v>
      </c>
      <c r="B106" s="2">
        <v>45689</v>
      </c>
      <c r="C106" s="2">
        <v>45696</v>
      </c>
      <c r="D106" s="3">
        <f t="shared" si="8"/>
        <v>7</v>
      </c>
      <c r="E106" t="s">
        <v>423</v>
      </c>
      <c r="F106" t="s">
        <v>62</v>
      </c>
      <c r="G106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424</v>
      </c>
      <c r="N106" t="s">
        <v>44</v>
      </c>
      <c r="O106">
        <v>5</v>
      </c>
      <c r="P106">
        <v>2112.54</v>
      </c>
      <c r="Q106" s="6">
        <v>0.25</v>
      </c>
      <c r="R106">
        <v>8260.4599999999991</v>
      </c>
      <c r="S106">
        <v>5619.95</v>
      </c>
      <c r="T106">
        <v>2302.08</v>
      </c>
      <c r="U106" t="s">
        <v>32</v>
      </c>
      <c r="V106" t="s">
        <v>68</v>
      </c>
      <c r="W106" s="8">
        <f t="shared" si="9"/>
        <v>0.25</v>
      </c>
      <c r="X106">
        <f t="shared" si="10"/>
        <v>7922.0250000000005</v>
      </c>
      <c r="Y106">
        <f t="shared" si="11"/>
        <v>2302.0750000000007</v>
      </c>
      <c r="Z106" s="8">
        <f t="shared" si="12"/>
        <v>0.29059173633004193</v>
      </c>
      <c r="AA106" t="str">
        <f t="shared" si="13"/>
        <v>February</v>
      </c>
      <c r="AB106">
        <f t="shared" si="14"/>
        <v>2025</v>
      </c>
      <c r="AC106" t="str">
        <f t="shared" si="15"/>
        <v>Clean</v>
      </c>
    </row>
    <row r="107" spans="1:29">
      <c r="A107" t="s">
        <v>425</v>
      </c>
      <c r="B107" s="2">
        <v>45467</v>
      </c>
      <c r="C107" s="2">
        <v>45472</v>
      </c>
      <c r="D107" s="3">
        <f t="shared" si="8"/>
        <v>5</v>
      </c>
      <c r="E107" t="s">
        <v>426</v>
      </c>
      <c r="F107" t="s">
        <v>36</v>
      </c>
      <c r="G107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427</v>
      </c>
      <c r="N107" t="s">
        <v>31</v>
      </c>
      <c r="O107">
        <v>2</v>
      </c>
      <c r="P107">
        <v>685</v>
      </c>
      <c r="Q107" s="6">
        <v>0.1</v>
      </c>
      <c r="R107">
        <v>1233</v>
      </c>
      <c r="S107">
        <v>1006.9</v>
      </c>
      <c r="T107">
        <v>226.1</v>
      </c>
      <c r="U107" t="s">
        <v>32</v>
      </c>
      <c r="V107" t="s">
        <v>33</v>
      </c>
      <c r="W107" s="8">
        <f t="shared" si="9"/>
        <v>0.1</v>
      </c>
      <c r="X107">
        <f t="shared" si="10"/>
        <v>1233</v>
      </c>
      <c r="Y107">
        <f t="shared" si="11"/>
        <v>226.10000000000002</v>
      </c>
      <c r="Z107" s="8">
        <f t="shared" si="12"/>
        <v>0.18337388483373887</v>
      </c>
      <c r="AA107" t="str">
        <f t="shared" si="13"/>
        <v>June</v>
      </c>
      <c r="AB107">
        <f t="shared" si="14"/>
        <v>2024</v>
      </c>
      <c r="AC107" t="str">
        <f t="shared" si="15"/>
        <v>Clean</v>
      </c>
    </row>
    <row r="108" spans="1:29">
      <c r="A108" t="s">
        <v>428</v>
      </c>
      <c r="B108" s="2">
        <v>45342</v>
      </c>
      <c r="C108" s="2">
        <v>45350</v>
      </c>
      <c r="D108" s="3">
        <f t="shared" si="8"/>
        <v>8</v>
      </c>
      <c r="E108" t="s">
        <v>429</v>
      </c>
      <c r="F108" t="s">
        <v>53</v>
      </c>
      <c r="G108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430</v>
      </c>
      <c r="N108" t="s">
        <v>59</v>
      </c>
      <c r="O108">
        <v>2</v>
      </c>
      <c r="P108">
        <v>4004.04</v>
      </c>
      <c r="Q108" s="7">
        <v>0</v>
      </c>
      <c r="R108">
        <v>7207.27</v>
      </c>
      <c r="S108">
        <v>5709.39</v>
      </c>
      <c r="T108">
        <v>1497.88</v>
      </c>
      <c r="U108" t="s">
        <v>32</v>
      </c>
      <c r="V108" t="s">
        <v>68</v>
      </c>
      <c r="W108" s="8">
        <f t="shared" si="9"/>
        <v>0</v>
      </c>
      <c r="X108">
        <f t="shared" si="10"/>
        <v>8008.08</v>
      </c>
      <c r="Y108">
        <f t="shared" si="11"/>
        <v>2298.6899999999996</v>
      </c>
      <c r="Z108" s="8">
        <f t="shared" si="12"/>
        <v>0.28704633320346445</v>
      </c>
      <c r="AA108" t="str">
        <f t="shared" si="13"/>
        <v>February</v>
      </c>
      <c r="AB108">
        <f t="shared" si="14"/>
        <v>2024</v>
      </c>
      <c r="AC108" t="str">
        <f t="shared" si="15"/>
        <v>Clean</v>
      </c>
    </row>
    <row r="109" spans="1:29">
      <c r="A109" t="s">
        <v>431</v>
      </c>
      <c r="B109" s="2">
        <v>45594</v>
      </c>
      <c r="C109" s="2">
        <v>45600</v>
      </c>
      <c r="D109" s="3">
        <f t="shared" si="8"/>
        <v>6</v>
      </c>
      <c r="E109" t="s">
        <v>432</v>
      </c>
      <c r="F109" t="s">
        <v>141</v>
      </c>
      <c r="G109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433</v>
      </c>
      <c r="N109" t="s">
        <v>50</v>
      </c>
      <c r="O109">
        <v>3</v>
      </c>
      <c r="P109">
        <v>4302.8900000000003</v>
      </c>
      <c r="Q109" s="6">
        <v>0.05</v>
      </c>
      <c r="R109">
        <v>12263.24</v>
      </c>
      <c r="S109">
        <v>8925.57</v>
      </c>
      <c r="T109">
        <v>3337.67</v>
      </c>
      <c r="U109" t="s">
        <v>32</v>
      </c>
      <c r="V109" t="s">
        <v>33</v>
      </c>
      <c r="W109" s="8">
        <f t="shared" si="9"/>
        <v>0.05</v>
      </c>
      <c r="X109">
        <f t="shared" si="10"/>
        <v>12263.236500000001</v>
      </c>
      <c r="Y109">
        <f t="shared" si="11"/>
        <v>3337.6665000000012</v>
      </c>
      <c r="Z109" s="8">
        <f t="shared" si="12"/>
        <v>0.27216848504878799</v>
      </c>
      <c r="AA109" t="str">
        <f t="shared" si="13"/>
        <v>October</v>
      </c>
      <c r="AB109">
        <f t="shared" si="14"/>
        <v>2024</v>
      </c>
      <c r="AC109" t="str">
        <f t="shared" si="15"/>
        <v>Clean</v>
      </c>
    </row>
    <row r="110" spans="1:29">
      <c r="A110" t="s">
        <v>434</v>
      </c>
      <c r="B110" s="2">
        <v>45519</v>
      </c>
      <c r="C110" s="2">
        <v>45527</v>
      </c>
      <c r="D110" s="3">
        <f t="shared" si="8"/>
        <v>8</v>
      </c>
      <c r="E110" t="s">
        <v>435</v>
      </c>
      <c r="F110" t="s">
        <v>89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436</v>
      </c>
      <c r="N110" t="s">
        <v>44</v>
      </c>
      <c r="O110">
        <v>2</v>
      </c>
      <c r="P110">
        <v>537.54</v>
      </c>
      <c r="Q110" s="6">
        <v>0.25</v>
      </c>
      <c r="R110">
        <v>806.31</v>
      </c>
      <c r="S110">
        <v>498.5</v>
      </c>
      <c r="T110">
        <v>307.81</v>
      </c>
      <c r="U110" t="s">
        <v>32</v>
      </c>
      <c r="V110" t="s">
        <v>33</v>
      </c>
      <c r="W110" s="8">
        <f t="shared" si="9"/>
        <v>0.25</v>
      </c>
      <c r="X110">
        <f t="shared" si="10"/>
        <v>806.31</v>
      </c>
      <c r="Y110">
        <f t="shared" si="11"/>
        <v>307.80999999999995</v>
      </c>
      <c r="Z110" s="8">
        <f t="shared" si="12"/>
        <v>0.38175143555208291</v>
      </c>
      <c r="AA110" t="str">
        <f t="shared" si="13"/>
        <v>August</v>
      </c>
      <c r="AB110">
        <f t="shared" si="14"/>
        <v>2024</v>
      </c>
      <c r="AC110" t="str">
        <f t="shared" si="15"/>
        <v>Clean</v>
      </c>
    </row>
    <row r="111" spans="1:29">
      <c r="A111" t="s">
        <v>437</v>
      </c>
      <c r="B111" s="2">
        <v>45892</v>
      </c>
      <c r="C111" s="2">
        <v>45896</v>
      </c>
      <c r="D111" s="3">
        <f t="shared" si="8"/>
        <v>4</v>
      </c>
      <c r="E111" t="s">
        <v>438</v>
      </c>
      <c r="F111" t="s">
        <v>132</v>
      </c>
      <c r="G111" t="s">
        <v>24</v>
      </c>
      <c r="H111" t="s">
        <v>25</v>
      </c>
      <c r="I111" t="s">
        <v>350</v>
      </c>
      <c r="J111" t="s">
        <v>351</v>
      </c>
      <c r="K111" t="s">
        <v>28</v>
      </c>
      <c r="L111" t="s">
        <v>153</v>
      </c>
      <c r="M111" t="s">
        <v>439</v>
      </c>
      <c r="N111" t="s">
        <v>31</v>
      </c>
      <c r="O111">
        <v>1</v>
      </c>
      <c r="P111">
        <v>2788.62</v>
      </c>
      <c r="Q111" s="6">
        <v>0.25</v>
      </c>
      <c r="R111">
        <v>2091.4699999999998</v>
      </c>
      <c r="S111">
        <v>1317.22</v>
      </c>
      <c r="T111">
        <v>774.25</v>
      </c>
      <c r="U111" t="s">
        <v>32</v>
      </c>
      <c r="V111" t="s">
        <v>33</v>
      </c>
      <c r="W111" s="8">
        <f t="shared" si="9"/>
        <v>0.25</v>
      </c>
      <c r="X111">
        <f t="shared" si="10"/>
        <v>2091.4650000000001</v>
      </c>
      <c r="Y111">
        <f t="shared" si="11"/>
        <v>774.24500000000012</v>
      </c>
      <c r="Z111" s="8">
        <f t="shared" si="12"/>
        <v>0.37019266399389905</v>
      </c>
      <c r="AA111" t="str">
        <f t="shared" si="13"/>
        <v>August</v>
      </c>
      <c r="AB111">
        <f t="shared" si="14"/>
        <v>2025</v>
      </c>
      <c r="AC111" t="str">
        <f t="shared" si="15"/>
        <v>Clean</v>
      </c>
    </row>
    <row r="112" spans="1:29">
      <c r="A112" t="s">
        <v>440</v>
      </c>
      <c r="B112" s="2">
        <v>45583</v>
      </c>
      <c r="C112" s="2">
        <v>45589</v>
      </c>
      <c r="D112" s="3">
        <f t="shared" si="8"/>
        <v>6</v>
      </c>
      <c r="E112" t="s">
        <v>441</v>
      </c>
      <c r="F112" t="s">
        <v>71</v>
      </c>
      <c r="G112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442</v>
      </c>
      <c r="N112" t="s">
        <v>50</v>
      </c>
      <c r="O112">
        <v>2</v>
      </c>
      <c r="P112">
        <v>2250.4699999999998</v>
      </c>
      <c r="Q112" s="7">
        <v>0</v>
      </c>
      <c r="R112">
        <v>4500.9399999999996</v>
      </c>
      <c r="S112">
        <v>2607.73</v>
      </c>
      <c r="T112">
        <v>1893.21</v>
      </c>
      <c r="U112" t="s">
        <v>102</v>
      </c>
      <c r="V112" t="s">
        <v>68</v>
      </c>
      <c r="W112" s="8">
        <f t="shared" si="9"/>
        <v>0</v>
      </c>
      <c r="X112">
        <f t="shared" si="10"/>
        <v>4500.9399999999996</v>
      </c>
      <c r="Y112">
        <f t="shared" si="11"/>
        <v>1893.2099999999996</v>
      </c>
      <c r="Z112" s="8">
        <f t="shared" si="12"/>
        <v>0.42062546934640316</v>
      </c>
      <c r="AA112" t="str">
        <f t="shared" si="13"/>
        <v>October</v>
      </c>
      <c r="AB112">
        <f t="shared" si="14"/>
        <v>2024</v>
      </c>
      <c r="AC112" t="str">
        <f t="shared" si="15"/>
        <v>Clean</v>
      </c>
    </row>
    <row r="113" spans="1:29">
      <c r="A113" t="s">
        <v>443</v>
      </c>
      <c r="B113" s="2">
        <v>45835</v>
      </c>
      <c r="C113" s="2">
        <v>45838</v>
      </c>
      <c r="D113" s="3">
        <f t="shared" si="8"/>
        <v>3</v>
      </c>
      <c r="E113" t="s">
        <v>444</v>
      </c>
      <c r="F113" t="s">
        <v>79</v>
      </c>
      <c r="G113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445</v>
      </c>
      <c r="N113" t="s">
        <v>50</v>
      </c>
      <c r="O113">
        <v>1</v>
      </c>
      <c r="P113">
        <v>1708.44</v>
      </c>
      <c r="Q113" s="6">
        <v>0.05</v>
      </c>
      <c r="R113">
        <v>1623.02</v>
      </c>
      <c r="S113">
        <v>1077.46</v>
      </c>
      <c r="T113">
        <v>545.55999999999995</v>
      </c>
      <c r="U113" t="s">
        <v>111</v>
      </c>
      <c r="V113" t="s">
        <v>68</v>
      </c>
      <c r="W113" s="8">
        <f t="shared" si="9"/>
        <v>0.05</v>
      </c>
      <c r="X113">
        <f t="shared" si="10"/>
        <v>1623.018</v>
      </c>
      <c r="Y113">
        <f t="shared" si="11"/>
        <v>545.55799999999999</v>
      </c>
      <c r="Z113" s="8">
        <f t="shared" si="12"/>
        <v>0.3361379849145234</v>
      </c>
      <c r="AA113" t="str">
        <f t="shared" si="13"/>
        <v>June</v>
      </c>
      <c r="AB113">
        <f t="shared" si="14"/>
        <v>2025</v>
      </c>
      <c r="AC113" t="str">
        <f t="shared" si="15"/>
        <v>Clean</v>
      </c>
    </row>
    <row r="114" spans="1:29">
      <c r="A114" t="s">
        <v>446</v>
      </c>
      <c r="B114" s="2">
        <v>45301</v>
      </c>
      <c r="C114" s="2">
        <v>45305</v>
      </c>
      <c r="D114" s="3">
        <f t="shared" si="8"/>
        <v>4</v>
      </c>
      <c r="E114" t="s">
        <v>447</v>
      </c>
      <c r="F114" t="s">
        <v>132</v>
      </c>
      <c r="G114" t="s">
        <v>24</v>
      </c>
      <c r="H114" s="4" t="s">
        <v>2760</v>
      </c>
      <c r="I114" t="s">
        <v>180</v>
      </c>
      <c r="J114" t="s">
        <v>181</v>
      </c>
      <c r="K114" t="s">
        <v>74</v>
      </c>
      <c r="L114" t="s">
        <v>75</v>
      </c>
      <c r="M114" t="s">
        <v>448</v>
      </c>
      <c r="N114" t="s">
        <v>59</v>
      </c>
      <c r="O114">
        <v>3</v>
      </c>
      <c r="P114">
        <v>3829.48</v>
      </c>
      <c r="Q114" s="6">
        <v>0.05</v>
      </c>
      <c r="R114">
        <v>10914.02</v>
      </c>
      <c r="S114">
        <v>6548.74</v>
      </c>
      <c r="T114">
        <v>4365.28</v>
      </c>
      <c r="U114" t="s">
        <v>32</v>
      </c>
      <c r="V114" t="s">
        <v>33</v>
      </c>
      <c r="W114" s="8">
        <f t="shared" si="9"/>
        <v>0.05</v>
      </c>
      <c r="X114">
        <f t="shared" si="10"/>
        <v>10914.018</v>
      </c>
      <c r="Y114">
        <f t="shared" si="11"/>
        <v>4365.2780000000002</v>
      </c>
      <c r="Z114" s="8">
        <f t="shared" si="12"/>
        <v>0.39996983695647198</v>
      </c>
      <c r="AA114" t="str">
        <f t="shared" si="13"/>
        <v>January</v>
      </c>
      <c r="AB114">
        <f t="shared" si="14"/>
        <v>2024</v>
      </c>
      <c r="AC114" t="str">
        <f t="shared" si="15"/>
        <v>Clean</v>
      </c>
    </row>
    <row r="115" spans="1:29">
      <c r="A115" t="s">
        <v>449</v>
      </c>
      <c r="B115" s="2">
        <v>45628</v>
      </c>
      <c r="C115" s="2">
        <v>45628</v>
      </c>
      <c r="D115" s="3">
        <f t="shared" si="8"/>
        <v>0</v>
      </c>
      <c r="E115" t="s">
        <v>360</v>
      </c>
      <c r="F115" t="s">
        <v>47</v>
      </c>
      <c r="G115" t="s">
        <v>95</v>
      </c>
      <c r="H115" t="s">
        <v>54</v>
      </c>
      <c r="I115" t="s">
        <v>247</v>
      </c>
      <c r="J115" t="s">
        <v>248</v>
      </c>
      <c r="K115" t="s">
        <v>41</v>
      </c>
      <c r="L115" t="s">
        <v>42</v>
      </c>
      <c r="M115" t="s">
        <v>450</v>
      </c>
      <c r="N115" t="s">
        <v>59</v>
      </c>
      <c r="O115">
        <v>3</v>
      </c>
      <c r="P115">
        <v>1089.1500000000001</v>
      </c>
      <c r="Q115" s="6">
        <v>0.25</v>
      </c>
      <c r="R115">
        <v>2450.59</v>
      </c>
      <c r="S115">
        <v>1639.89</v>
      </c>
      <c r="T115">
        <v>810.7</v>
      </c>
      <c r="U115" t="s">
        <v>32</v>
      </c>
      <c r="V115" t="s">
        <v>33</v>
      </c>
      <c r="W115" s="8">
        <f t="shared" si="9"/>
        <v>0.25</v>
      </c>
      <c r="X115">
        <f t="shared" si="10"/>
        <v>2450.5875000000001</v>
      </c>
      <c r="Y115">
        <f t="shared" si="11"/>
        <v>810.69749999999999</v>
      </c>
      <c r="Z115" s="8">
        <f t="shared" si="12"/>
        <v>0.33081761006289306</v>
      </c>
      <c r="AA115" t="str">
        <f t="shared" si="13"/>
        <v>December</v>
      </c>
      <c r="AB115">
        <f t="shared" si="14"/>
        <v>2024</v>
      </c>
      <c r="AC115" t="str">
        <f t="shared" si="15"/>
        <v>Clean</v>
      </c>
    </row>
    <row r="116" spans="1:29">
      <c r="A116" t="s">
        <v>451</v>
      </c>
      <c r="B116" s="2">
        <v>45560</v>
      </c>
      <c r="C116" s="2">
        <v>45565</v>
      </c>
      <c r="D116" s="3">
        <f t="shared" si="8"/>
        <v>5</v>
      </c>
      <c r="E116" t="s">
        <v>452</v>
      </c>
      <c r="F116" t="s">
        <v>79</v>
      </c>
      <c r="G116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453</v>
      </c>
      <c r="N116" t="s">
        <v>31</v>
      </c>
      <c r="O116">
        <v>1</v>
      </c>
      <c r="P116">
        <v>4388.3999999999996</v>
      </c>
      <c r="Q116" s="6">
        <v>0.1</v>
      </c>
      <c r="R116">
        <v>3949.56</v>
      </c>
      <c r="S116">
        <v>3186.73</v>
      </c>
      <c r="T116">
        <v>762.83</v>
      </c>
      <c r="U116" t="s">
        <v>111</v>
      </c>
      <c r="V116" t="s">
        <v>68</v>
      </c>
      <c r="W116" s="8">
        <f t="shared" si="9"/>
        <v>0.1</v>
      </c>
      <c r="X116">
        <f t="shared" si="10"/>
        <v>3949.56</v>
      </c>
      <c r="Y116">
        <f t="shared" si="11"/>
        <v>762.82999999999993</v>
      </c>
      <c r="Z116" s="8">
        <f t="shared" si="12"/>
        <v>0.19314303365438173</v>
      </c>
      <c r="AA116" t="str">
        <f t="shared" si="13"/>
        <v>September</v>
      </c>
      <c r="AB116">
        <f t="shared" si="14"/>
        <v>2024</v>
      </c>
      <c r="AC116" t="str">
        <f t="shared" si="15"/>
        <v>Clean</v>
      </c>
    </row>
    <row r="117" spans="1:29">
      <c r="A117" t="s">
        <v>454</v>
      </c>
      <c r="B117" s="2">
        <v>45653</v>
      </c>
      <c r="C117" s="2">
        <v>45658</v>
      </c>
      <c r="D117" s="3">
        <f t="shared" si="8"/>
        <v>5</v>
      </c>
      <c r="E117" t="s">
        <v>455</v>
      </c>
      <c r="F117" t="s">
        <v>264</v>
      </c>
      <c r="G117" t="s">
        <v>90</v>
      </c>
      <c r="H117" t="s">
        <v>54</v>
      </c>
      <c r="I117" t="s">
        <v>247</v>
      </c>
      <c r="J117" t="s">
        <v>248</v>
      </c>
      <c r="K117" t="s">
        <v>28</v>
      </c>
      <c r="L117" t="s">
        <v>153</v>
      </c>
      <c r="M117" t="s">
        <v>456</v>
      </c>
      <c r="N117" t="s">
        <v>44</v>
      </c>
      <c r="O117">
        <v>2</v>
      </c>
      <c r="P117">
        <v>446.34</v>
      </c>
      <c r="Q117" s="6">
        <v>0.15</v>
      </c>
      <c r="R117">
        <v>758.78</v>
      </c>
      <c r="S117">
        <v>490.74</v>
      </c>
      <c r="T117">
        <v>268.04000000000002</v>
      </c>
      <c r="U117" t="s">
        <v>32</v>
      </c>
      <c r="V117" t="s">
        <v>68</v>
      </c>
      <c r="W117" s="8">
        <f t="shared" si="9"/>
        <v>0.15</v>
      </c>
      <c r="X117">
        <f t="shared" si="10"/>
        <v>758.77799999999991</v>
      </c>
      <c r="Y117">
        <f t="shared" si="11"/>
        <v>268.0379999999999</v>
      </c>
      <c r="Z117" s="8">
        <f t="shared" si="12"/>
        <v>0.35324956706704719</v>
      </c>
      <c r="AA117" t="str">
        <f t="shared" si="13"/>
        <v>December</v>
      </c>
      <c r="AB117">
        <f t="shared" si="14"/>
        <v>2024</v>
      </c>
      <c r="AC117" t="str">
        <f t="shared" si="15"/>
        <v>Clean</v>
      </c>
    </row>
    <row r="118" spans="1:29">
      <c r="A118" t="s">
        <v>457</v>
      </c>
      <c r="B118" s="2">
        <v>45703</v>
      </c>
      <c r="C118" s="2">
        <v>45707</v>
      </c>
      <c r="D118" s="3">
        <f t="shared" si="8"/>
        <v>4</v>
      </c>
      <c r="E118" t="s">
        <v>458</v>
      </c>
      <c r="F118" t="s">
        <v>62</v>
      </c>
      <c r="G118" t="s">
        <v>37</v>
      </c>
      <c r="H118" s="4" t="s">
        <v>2760</v>
      </c>
      <c r="I118" t="s">
        <v>72</v>
      </c>
      <c r="J118" t="s">
        <v>73</v>
      </c>
      <c r="K118" t="s">
        <v>28</v>
      </c>
      <c r="L118" t="s">
        <v>153</v>
      </c>
      <c r="M118" t="s">
        <v>459</v>
      </c>
      <c r="N118" t="s">
        <v>50</v>
      </c>
      <c r="O118">
        <v>9</v>
      </c>
      <c r="P118">
        <v>531.99</v>
      </c>
      <c r="Q118" s="6">
        <v>0.25</v>
      </c>
      <c r="R118">
        <v>3590.93</v>
      </c>
      <c r="S118">
        <v>3061.39</v>
      </c>
      <c r="T118">
        <v>529.54</v>
      </c>
      <c r="U118" t="s">
        <v>155</v>
      </c>
      <c r="V118" t="s">
        <v>68</v>
      </c>
      <c r="W118" s="8">
        <f t="shared" si="9"/>
        <v>0.25</v>
      </c>
      <c r="X118">
        <f t="shared" si="10"/>
        <v>3590.9324999999999</v>
      </c>
      <c r="Y118">
        <f t="shared" si="11"/>
        <v>529.54250000000002</v>
      </c>
      <c r="Z118" s="8">
        <f t="shared" si="12"/>
        <v>0.14746657031286442</v>
      </c>
      <c r="AA118" t="str">
        <f t="shared" si="13"/>
        <v>February</v>
      </c>
      <c r="AB118">
        <f t="shared" si="14"/>
        <v>2025</v>
      </c>
      <c r="AC118" t="str">
        <f t="shared" si="15"/>
        <v>Clean</v>
      </c>
    </row>
    <row r="119" spans="1:29">
      <c r="A119" t="s">
        <v>460</v>
      </c>
      <c r="B119" s="2">
        <v>45337</v>
      </c>
      <c r="C119" s="2">
        <v>45339</v>
      </c>
      <c r="D119" s="3">
        <f t="shared" si="8"/>
        <v>2</v>
      </c>
      <c r="E119" t="s">
        <v>461</v>
      </c>
      <c r="F119" t="s">
        <v>36</v>
      </c>
      <c r="G119" t="s">
        <v>95</v>
      </c>
      <c r="H119" t="s">
        <v>54</v>
      </c>
      <c r="I119" t="s">
        <v>247</v>
      </c>
      <c r="J119" t="s">
        <v>248</v>
      </c>
      <c r="K119" t="s">
        <v>74</v>
      </c>
      <c r="L119" t="s">
        <v>274</v>
      </c>
      <c r="M119" t="s">
        <v>462</v>
      </c>
      <c r="N119" t="s">
        <v>59</v>
      </c>
      <c r="O119">
        <v>9</v>
      </c>
      <c r="P119">
        <v>3324.55</v>
      </c>
      <c r="Q119" s="6">
        <v>0.7</v>
      </c>
      <c r="R119">
        <v>25432.81</v>
      </c>
      <c r="S119">
        <v>20370.16</v>
      </c>
      <c r="T119">
        <v>5062.6499999999996</v>
      </c>
      <c r="U119" t="s">
        <v>32</v>
      </c>
      <c r="V119" t="s">
        <v>33</v>
      </c>
      <c r="W119" s="8">
        <f t="shared" si="9"/>
        <v>0.7</v>
      </c>
      <c r="X119">
        <f t="shared" si="10"/>
        <v>8976.2850000000017</v>
      </c>
      <c r="Y119">
        <f t="shared" si="11"/>
        <v>-11393.874999999998</v>
      </c>
      <c r="Z119" s="8">
        <f t="shared" si="12"/>
        <v>-1.2693307977632167</v>
      </c>
      <c r="AA119" t="str">
        <f t="shared" si="13"/>
        <v>February</v>
      </c>
      <c r="AB119">
        <f t="shared" si="14"/>
        <v>2024</v>
      </c>
      <c r="AC119" t="str">
        <f t="shared" si="15"/>
        <v>Clean</v>
      </c>
    </row>
    <row r="120" spans="1:29">
      <c r="A120" t="s">
        <v>463</v>
      </c>
      <c r="B120" s="2">
        <v>45453</v>
      </c>
      <c r="C120" s="2">
        <v>45461</v>
      </c>
      <c r="D120" s="3">
        <f t="shared" si="8"/>
        <v>8</v>
      </c>
      <c r="E120" t="s">
        <v>464</v>
      </c>
      <c r="F120" t="s">
        <v>71</v>
      </c>
      <c r="G120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465</v>
      </c>
      <c r="N120" t="s">
        <v>44</v>
      </c>
      <c r="O120">
        <v>5</v>
      </c>
      <c r="P120">
        <v>1580.27</v>
      </c>
      <c r="Q120" s="6">
        <v>0.2</v>
      </c>
      <c r="R120">
        <v>6321.08</v>
      </c>
      <c r="S120">
        <v>4407.22</v>
      </c>
      <c r="T120">
        <v>1913.86</v>
      </c>
      <c r="U120" t="s">
        <v>32</v>
      </c>
      <c r="V120" t="s">
        <v>33</v>
      </c>
      <c r="W120" s="8">
        <f t="shared" si="9"/>
        <v>0.2</v>
      </c>
      <c r="X120">
        <f t="shared" si="10"/>
        <v>6321.0800000000008</v>
      </c>
      <c r="Y120">
        <f t="shared" si="11"/>
        <v>1913.8600000000006</v>
      </c>
      <c r="Z120" s="8">
        <f t="shared" si="12"/>
        <v>0.30277420947053357</v>
      </c>
      <c r="AA120" t="str">
        <f t="shared" si="13"/>
        <v>June</v>
      </c>
      <c r="AB120">
        <f t="shared" si="14"/>
        <v>2024</v>
      </c>
      <c r="AC120" t="str">
        <f t="shared" si="15"/>
        <v>Clean</v>
      </c>
    </row>
    <row r="121" spans="1:29">
      <c r="A121" t="s">
        <v>466</v>
      </c>
      <c r="B121" s="2">
        <v>45455</v>
      </c>
      <c r="C121" s="2">
        <v>45462</v>
      </c>
      <c r="D121" s="3">
        <f t="shared" si="8"/>
        <v>7</v>
      </c>
      <c r="E121" t="s">
        <v>467</v>
      </c>
      <c r="F121" t="s">
        <v>89</v>
      </c>
      <c r="G121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468</v>
      </c>
      <c r="N121" t="s">
        <v>59</v>
      </c>
      <c r="O121">
        <v>8</v>
      </c>
      <c r="P121">
        <v>314.05</v>
      </c>
      <c r="Q121" s="6">
        <v>0.25</v>
      </c>
      <c r="R121">
        <v>1884.3</v>
      </c>
      <c r="S121">
        <v>1517.69</v>
      </c>
      <c r="T121">
        <v>366.61</v>
      </c>
      <c r="U121" t="s">
        <v>102</v>
      </c>
      <c r="V121" t="s">
        <v>103</v>
      </c>
      <c r="W121" s="8">
        <f t="shared" si="9"/>
        <v>0.25</v>
      </c>
      <c r="X121">
        <f t="shared" si="10"/>
        <v>1884.3000000000002</v>
      </c>
      <c r="Y121">
        <f t="shared" si="11"/>
        <v>366.61000000000013</v>
      </c>
      <c r="Z121" s="8">
        <f t="shared" si="12"/>
        <v>0.19456031417502526</v>
      </c>
      <c r="AA121" t="str">
        <f t="shared" si="13"/>
        <v>June</v>
      </c>
      <c r="AB121">
        <f t="shared" si="14"/>
        <v>2024</v>
      </c>
      <c r="AC121" t="str">
        <f t="shared" si="15"/>
        <v>Clean</v>
      </c>
    </row>
    <row r="122" spans="1:29">
      <c r="A122" t="s">
        <v>469</v>
      </c>
      <c r="B122" s="2">
        <v>45514</v>
      </c>
      <c r="C122" s="2">
        <v>45522</v>
      </c>
      <c r="D122" s="3">
        <f t="shared" si="8"/>
        <v>8</v>
      </c>
      <c r="E122" t="s">
        <v>470</v>
      </c>
      <c r="F122" t="s">
        <v>132</v>
      </c>
      <c r="G122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471</v>
      </c>
      <c r="N122" t="s">
        <v>59</v>
      </c>
      <c r="O122">
        <v>1</v>
      </c>
      <c r="P122">
        <v>1823.67</v>
      </c>
      <c r="Q122" s="6">
        <v>0.2</v>
      </c>
      <c r="R122">
        <v>1458.94</v>
      </c>
      <c r="S122">
        <v>893.2</v>
      </c>
      <c r="T122">
        <v>565.74</v>
      </c>
      <c r="U122" t="s">
        <v>32</v>
      </c>
      <c r="V122" t="s">
        <v>103</v>
      </c>
      <c r="W122" s="8">
        <f t="shared" si="9"/>
        <v>0.2</v>
      </c>
      <c r="X122">
        <f t="shared" si="10"/>
        <v>1458.9360000000001</v>
      </c>
      <c r="Y122">
        <f t="shared" si="11"/>
        <v>565.7360000000001</v>
      </c>
      <c r="Z122" s="8">
        <f t="shared" si="12"/>
        <v>0.38777300717783375</v>
      </c>
      <c r="AA122" t="str">
        <f t="shared" si="13"/>
        <v>August</v>
      </c>
      <c r="AB122">
        <f t="shared" si="14"/>
        <v>2024</v>
      </c>
      <c r="AC122" t="str">
        <f t="shared" si="15"/>
        <v>Clean</v>
      </c>
    </row>
    <row r="123" spans="1:29">
      <c r="A123" t="s">
        <v>472</v>
      </c>
      <c r="B123" s="2">
        <v>45891</v>
      </c>
      <c r="C123" s="2">
        <v>45895</v>
      </c>
      <c r="D123" s="3">
        <f t="shared" si="8"/>
        <v>4</v>
      </c>
      <c r="E123" t="s">
        <v>473</v>
      </c>
      <c r="F123" t="s">
        <v>264</v>
      </c>
      <c r="G123" t="s">
        <v>37</v>
      </c>
      <c r="H123" t="s">
        <v>54</v>
      </c>
      <c r="I123" t="s">
        <v>84</v>
      </c>
      <c r="J123" t="s">
        <v>85</v>
      </c>
      <c r="K123" t="s">
        <v>74</v>
      </c>
      <c r="L123" t="s">
        <v>274</v>
      </c>
      <c r="M123" t="s">
        <v>474</v>
      </c>
      <c r="N123" t="s">
        <v>31</v>
      </c>
      <c r="O123">
        <v>5</v>
      </c>
      <c r="P123">
        <v>3482.92</v>
      </c>
      <c r="Q123" s="7">
        <v>0</v>
      </c>
      <c r="R123">
        <v>17414.599999999999</v>
      </c>
      <c r="S123">
        <v>11760.91</v>
      </c>
      <c r="T123">
        <v>5653.69</v>
      </c>
      <c r="U123" t="s">
        <v>102</v>
      </c>
      <c r="V123" t="s">
        <v>68</v>
      </c>
      <c r="W123" s="8">
        <f t="shared" si="9"/>
        <v>0</v>
      </c>
      <c r="X123">
        <f t="shared" si="10"/>
        <v>17414.599999999999</v>
      </c>
      <c r="Y123">
        <f t="shared" si="11"/>
        <v>5653.6899999999987</v>
      </c>
      <c r="Z123" s="8">
        <f t="shared" si="12"/>
        <v>0.3246523032398102</v>
      </c>
      <c r="AA123" t="str">
        <f t="shared" si="13"/>
        <v>August</v>
      </c>
      <c r="AB123">
        <f t="shared" si="14"/>
        <v>2025</v>
      </c>
      <c r="AC123" t="str">
        <f t="shared" si="15"/>
        <v>Clean</v>
      </c>
    </row>
    <row r="124" spans="1:29">
      <c r="A124" t="s">
        <v>475</v>
      </c>
      <c r="B124" s="2">
        <v>45626</v>
      </c>
      <c r="C124" s="2">
        <v>45394</v>
      </c>
      <c r="D124" s="5">
        <f t="shared" si="8"/>
        <v>-232</v>
      </c>
      <c r="E124" t="s">
        <v>476</v>
      </c>
      <c r="F124" t="s">
        <v>62</v>
      </c>
      <c r="G124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477</v>
      </c>
      <c r="N124" t="s">
        <v>31</v>
      </c>
      <c r="O124">
        <v>3</v>
      </c>
      <c r="P124">
        <v>170.35</v>
      </c>
      <c r="Q124" s="7">
        <v>0</v>
      </c>
      <c r="R124">
        <v>511.05</v>
      </c>
      <c r="S124">
        <v>367.18</v>
      </c>
      <c r="T124">
        <v>143.87</v>
      </c>
      <c r="U124" t="s">
        <v>32</v>
      </c>
      <c r="V124" t="s">
        <v>33</v>
      </c>
      <c r="W124" s="8">
        <f t="shared" si="9"/>
        <v>0</v>
      </c>
      <c r="X124">
        <f t="shared" si="10"/>
        <v>511.04999999999995</v>
      </c>
      <c r="Y124">
        <f t="shared" si="11"/>
        <v>143.86999999999995</v>
      </c>
      <c r="Z124" s="8">
        <f t="shared" si="12"/>
        <v>0.28151844242246349</v>
      </c>
      <c r="AA124" t="str">
        <f t="shared" si="13"/>
        <v>November</v>
      </c>
      <c r="AB124">
        <f t="shared" si="14"/>
        <v>2024</v>
      </c>
      <c r="AC124" t="str">
        <f t="shared" si="15"/>
        <v>Warning</v>
      </c>
    </row>
    <row r="125" spans="1:29">
      <c r="A125" s="4" t="s">
        <v>478</v>
      </c>
      <c r="B125" s="2">
        <v>45436</v>
      </c>
      <c r="C125" s="2">
        <v>45437</v>
      </c>
      <c r="D125" s="3">
        <f t="shared" si="8"/>
        <v>1</v>
      </c>
      <c r="E125" t="s">
        <v>479</v>
      </c>
      <c r="F125" t="s">
        <v>132</v>
      </c>
      <c r="G125" t="s">
        <v>37</v>
      </c>
      <c r="H125" t="s">
        <v>25</v>
      </c>
      <c r="I125" t="s">
        <v>122</v>
      </c>
      <c r="J125" t="s">
        <v>123</v>
      </c>
      <c r="K125" t="s">
        <v>74</v>
      </c>
      <c r="L125" t="s">
        <v>80</v>
      </c>
      <c r="M125" t="s">
        <v>480</v>
      </c>
      <c r="N125" t="s">
        <v>44</v>
      </c>
      <c r="O125">
        <v>1</v>
      </c>
      <c r="P125">
        <v>634.13</v>
      </c>
      <c r="Q125" s="7">
        <v>0</v>
      </c>
      <c r="R125">
        <v>634.13</v>
      </c>
      <c r="S125">
        <v>453.35</v>
      </c>
      <c r="T125">
        <v>180.78</v>
      </c>
      <c r="U125" t="s">
        <v>102</v>
      </c>
      <c r="V125" t="s">
        <v>68</v>
      </c>
      <c r="W125" s="8">
        <f t="shared" si="9"/>
        <v>0</v>
      </c>
      <c r="X125">
        <f t="shared" si="10"/>
        <v>634.13</v>
      </c>
      <c r="Y125">
        <f t="shared" si="11"/>
        <v>180.77999999999997</v>
      </c>
      <c r="Z125" s="8">
        <f t="shared" si="12"/>
        <v>0.28508350022865969</v>
      </c>
      <c r="AA125" t="str">
        <f t="shared" si="13"/>
        <v>May</v>
      </c>
      <c r="AB125">
        <f t="shared" si="14"/>
        <v>2024</v>
      </c>
      <c r="AC125" t="str">
        <f t="shared" si="15"/>
        <v>Clean</v>
      </c>
    </row>
    <row r="126" spans="1:29">
      <c r="A126" t="s">
        <v>481</v>
      </c>
      <c r="B126" s="2">
        <v>45494</v>
      </c>
      <c r="C126" s="2">
        <v>45497</v>
      </c>
      <c r="D126" s="3">
        <f t="shared" si="8"/>
        <v>3</v>
      </c>
      <c r="E126" t="s">
        <v>482</v>
      </c>
      <c r="F126" t="s">
        <v>47</v>
      </c>
      <c r="G126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483</v>
      </c>
      <c r="N126" t="s">
        <v>59</v>
      </c>
      <c r="O126">
        <v>9</v>
      </c>
      <c r="P126">
        <v>465.06</v>
      </c>
      <c r="Q126" s="7">
        <v>-0.15</v>
      </c>
      <c r="R126">
        <v>4185.54</v>
      </c>
      <c r="S126">
        <v>3443.74</v>
      </c>
      <c r="T126">
        <v>741.8</v>
      </c>
      <c r="U126" t="s">
        <v>32</v>
      </c>
      <c r="V126" t="s">
        <v>33</v>
      </c>
      <c r="W126" s="8">
        <f t="shared" si="9"/>
        <v>-0.15</v>
      </c>
      <c r="X126">
        <f t="shared" si="10"/>
        <v>4813.3709999999992</v>
      </c>
      <c r="Y126">
        <f t="shared" si="11"/>
        <v>1369.6309999999994</v>
      </c>
      <c r="Z126" s="8">
        <f t="shared" si="12"/>
        <v>0.28454715001191466</v>
      </c>
      <c r="AA126" t="str">
        <f t="shared" si="13"/>
        <v>July</v>
      </c>
      <c r="AB126">
        <f t="shared" si="14"/>
        <v>2024</v>
      </c>
      <c r="AC126" t="str">
        <f t="shared" si="15"/>
        <v>Invalid</v>
      </c>
    </row>
    <row r="127" spans="1:29">
      <c r="A127" t="s">
        <v>484</v>
      </c>
      <c r="B127" s="2">
        <v>45855</v>
      </c>
      <c r="C127" s="2">
        <v>45856</v>
      </c>
      <c r="D127" s="3">
        <f t="shared" si="8"/>
        <v>1</v>
      </c>
      <c r="E127" t="s">
        <v>485</v>
      </c>
      <c r="F127" t="s">
        <v>79</v>
      </c>
      <c r="G127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486</v>
      </c>
      <c r="N127" t="s">
        <v>44</v>
      </c>
      <c r="O127">
        <v>6</v>
      </c>
      <c r="P127">
        <v>3235.27</v>
      </c>
      <c r="Q127" s="6">
        <v>0.25</v>
      </c>
      <c r="R127">
        <v>14558.72</v>
      </c>
      <c r="S127">
        <v>9591.48</v>
      </c>
      <c r="T127">
        <v>4967.24</v>
      </c>
      <c r="U127" t="s">
        <v>102</v>
      </c>
      <c r="V127" t="s">
        <v>103</v>
      </c>
      <c r="W127" s="8">
        <f t="shared" si="9"/>
        <v>0.25</v>
      </c>
      <c r="X127">
        <f t="shared" si="10"/>
        <v>14558.715</v>
      </c>
      <c r="Y127">
        <f t="shared" si="11"/>
        <v>4967.2350000000006</v>
      </c>
      <c r="Z127" s="8">
        <f t="shared" si="12"/>
        <v>0.34118636157105903</v>
      </c>
      <c r="AA127" t="str">
        <f t="shared" si="13"/>
        <v>July</v>
      </c>
      <c r="AB127">
        <f t="shared" si="14"/>
        <v>2025</v>
      </c>
      <c r="AC127" t="str">
        <f t="shared" si="15"/>
        <v>Clean</v>
      </c>
    </row>
    <row r="128" spans="1:29">
      <c r="A128" t="s">
        <v>487</v>
      </c>
      <c r="B128" s="2">
        <v>45924</v>
      </c>
      <c r="C128" s="2">
        <v>45926</v>
      </c>
      <c r="D128" s="3">
        <f t="shared" si="8"/>
        <v>2</v>
      </c>
      <c r="E128" t="s">
        <v>488</v>
      </c>
      <c r="F128" t="s">
        <v>114</v>
      </c>
      <c r="G128" t="s">
        <v>90</v>
      </c>
      <c r="H128" t="s">
        <v>25</v>
      </c>
      <c r="I128" t="s">
        <v>350</v>
      </c>
      <c r="J128" t="s">
        <v>351</v>
      </c>
      <c r="K128" t="s">
        <v>74</v>
      </c>
      <c r="L128" t="s">
        <v>80</v>
      </c>
      <c r="M128" t="s">
        <v>489</v>
      </c>
      <c r="N128" t="s">
        <v>59</v>
      </c>
      <c r="O128">
        <v>3</v>
      </c>
      <c r="P128">
        <v>1593.86</v>
      </c>
      <c r="Q128" s="6">
        <v>0.1</v>
      </c>
      <c r="R128">
        <v>4303.42</v>
      </c>
      <c r="S128">
        <v>2568.5700000000002</v>
      </c>
      <c r="T128">
        <v>1734.85</v>
      </c>
      <c r="U128" t="s">
        <v>32</v>
      </c>
      <c r="V128" t="s">
        <v>33</v>
      </c>
      <c r="W128" s="8">
        <f t="shared" si="9"/>
        <v>0.1</v>
      </c>
      <c r="X128">
        <f t="shared" si="10"/>
        <v>4303.4220000000005</v>
      </c>
      <c r="Y128">
        <f t="shared" si="11"/>
        <v>1734.8520000000003</v>
      </c>
      <c r="Z128" s="8">
        <f t="shared" si="12"/>
        <v>0.40313313451481175</v>
      </c>
      <c r="AA128" t="str">
        <f t="shared" si="13"/>
        <v>September</v>
      </c>
      <c r="AB128">
        <f t="shared" si="14"/>
        <v>2025</v>
      </c>
      <c r="AC128" t="str">
        <f t="shared" si="15"/>
        <v>Clean</v>
      </c>
    </row>
    <row r="129" spans="1:29">
      <c r="A129" t="s">
        <v>490</v>
      </c>
      <c r="B129" s="2">
        <v>45687</v>
      </c>
      <c r="C129" s="2">
        <v>45683</v>
      </c>
      <c r="D129" s="5">
        <f t="shared" si="8"/>
        <v>-4</v>
      </c>
      <c r="E129" t="s">
        <v>491</v>
      </c>
      <c r="F129" t="s">
        <v>114</v>
      </c>
      <c r="G129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492</v>
      </c>
      <c r="N129" t="s">
        <v>31</v>
      </c>
      <c r="O129">
        <v>2</v>
      </c>
      <c r="P129">
        <v>3039.3</v>
      </c>
      <c r="Q129" s="6">
        <v>0.05</v>
      </c>
      <c r="R129">
        <v>5774.67</v>
      </c>
      <c r="S129">
        <v>3518.36</v>
      </c>
      <c r="T129">
        <v>2256.31</v>
      </c>
      <c r="U129" t="s">
        <v>32</v>
      </c>
      <c r="V129" t="s">
        <v>33</v>
      </c>
      <c r="W129" s="8">
        <f t="shared" si="9"/>
        <v>0.05</v>
      </c>
      <c r="X129">
        <f t="shared" si="10"/>
        <v>5774.67</v>
      </c>
      <c r="Y129">
        <f t="shared" si="11"/>
        <v>2256.31</v>
      </c>
      <c r="Z129" s="8">
        <f t="shared" si="12"/>
        <v>0.39072535746631409</v>
      </c>
      <c r="AA129" t="str">
        <f t="shared" si="13"/>
        <v>January</v>
      </c>
      <c r="AB129">
        <f t="shared" si="14"/>
        <v>2025</v>
      </c>
      <c r="AC129" t="str">
        <f t="shared" si="15"/>
        <v>Warning</v>
      </c>
    </row>
    <row r="130" spans="1:29">
      <c r="A130" t="s">
        <v>493</v>
      </c>
      <c r="B130" s="2">
        <v>45639</v>
      </c>
      <c r="C130" s="2">
        <v>45642</v>
      </c>
      <c r="D130" s="3">
        <f t="shared" ref="D130:D193" si="16">C130-B130</f>
        <v>3</v>
      </c>
      <c r="E130" t="s">
        <v>494</v>
      </c>
      <c r="F130" t="s">
        <v>79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495</v>
      </c>
      <c r="N130" t="s">
        <v>59</v>
      </c>
      <c r="O130">
        <v>5</v>
      </c>
      <c r="P130">
        <v>923.45</v>
      </c>
      <c r="Q130" s="6">
        <v>0.05</v>
      </c>
      <c r="R130">
        <v>4386.3900000000003</v>
      </c>
      <c r="S130">
        <v>3366.88</v>
      </c>
      <c r="T130">
        <v>1019.51</v>
      </c>
      <c r="U130" t="s">
        <v>32</v>
      </c>
      <c r="V130" t="s">
        <v>103</v>
      </c>
      <c r="W130" s="8">
        <f t="shared" si="9"/>
        <v>0.05</v>
      </c>
      <c r="X130">
        <f t="shared" si="10"/>
        <v>4386.3874999999998</v>
      </c>
      <c r="Y130">
        <f t="shared" si="11"/>
        <v>1019.5074999999997</v>
      </c>
      <c r="Z130" s="8">
        <f t="shared" si="12"/>
        <v>0.2324253158208206</v>
      </c>
      <c r="AA130" t="str">
        <f t="shared" si="13"/>
        <v>December</v>
      </c>
      <c r="AB130">
        <f t="shared" si="14"/>
        <v>2024</v>
      </c>
      <c r="AC130" t="str">
        <f t="shared" si="15"/>
        <v>Clean</v>
      </c>
    </row>
    <row r="131" spans="1:29">
      <c r="A131" t="s">
        <v>496</v>
      </c>
      <c r="B131" s="2">
        <v>45492</v>
      </c>
      <c r="C131" s="2">
        <v>45498</v>
      </c>
      <c r="D131" s="3">
        <f t="shared" si="16"/>
        <v>6</v>
      </c>
      <c r="E131" t="s">
        <v>497</v>
      </c>
      <c r="F131" t="s">
        <v>47</v>
      </c>
      <c r="G131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498</v>
      </c>
      <c r="N131" t="s">
        <v>59</v>
      </c>
      <c r="O131">
        <v>7</v>
      </c>
      <c r="P131">
        <v>2741.29</v>
      </c>
      <c r="Q131" s="6">
        <v>0.05</v>
      </c>
      <c r="R131">
        <v>18229.580000000002</v>
      </c>
      <c r="S131">
        <v>15139.15</v>
      </c>
      <c r="T131">
        <v>3090.43</v>
      </c>
      <c r="U131" t="s">
        <v>32</v>
      </c>
      <c r="V131" t="s">
        <v>33</v>
      </c>
      <c r="W131" s="8">
        <f t="shared" ref="W131:W194" si="17">Q131</f>
        <v>0.05</v>
      </c>
      <c r="X131">
        <f t="shared" ref="X131:X194" si="18">O131*P131*(1-W131)</f>
        <v>18229.5785</v>
      </c>
      <c r="Y131">
        <f t="shared" ref="Y131:Y194" si="19">X131-S131</f>
        <v>3090.4285</v>
      </c>
      <c r="Z131" s="8">
        <f t="shared" ref="Z131:Z194" si="20">IF(X131=0,0,Y131/X131)</f>
        <v>0.16952824773211295</v>
      </c>
      <c r="AA131" t="str">
        <f t="shared" ref="AA131:AA194" si="21">TEXT(B131,"mmmm")</f>
        <v>July</v>
      </c>
      <c r="AB131">
        <f t="shared" ref="AB131:AB194" si="22">YEAR(B131)</f>
        <v>2024</v>
      </c>
      <c r="AC131" t="str">
        <f t="shared" ref="AC131:AC194" si="23">IF(Q131&lt;0,"Invalid",IF(D131&lt;0,"Warning","Clean"))</f>
        <v>Clean</v>
      </c>
    </row>
    <row r="132" spans="1:29">
      <c r="A132" t="s">
        <v>499</v>
      </c>
      <c r="B132" s="2">
        <v>45318</v>
      </c>
      <c r="C132" s="2">
        <v>45324</v>
      </c>
      <c r="D132" s="3">
        <f t="shared" si="16"/>
        <v>6</v>
      </c>
      <c r="E132" t="s">
        <v>500</v>
      </c>
      <c r="F132" t="s">
        <v>53</v>
      </c>
      <c r="G132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501</v>
      </c>
      <c r="N132" t="s">
        <v>44</v>
      </c>
      <c r="O132">
        <v>5</v>
      </c>
      <c r="P132">
        <v>218.42</v>
      </c>
      <c r="Q132" s="6">
        <v>0.2</v>
      </c>
      <c r="R132">
        <v>873.68</v>
      </c>
      <c r="S132">
        <v>661.72</v>
      </c>
      <c r="T132">
        <v>211.96</v>
      </c>
      <c r="U132" t="s">
        <v>111</v>
      </c>
      <c r="V132" t="s">
        <v>68</v>
      </c>
      <c r="W132" s="8">
        <f t="shared" si="17"/>
        <v>0.2</v>
      </c>
      <c r="X132">
        <f t="shared" si="18"/>
        <v>873.68</v>
      </c>
      <c r="Y132">
        <f t="shared" si="19"/>
        <v>211.95999999999992</v>
      </c>
      <c r="Z132" s="8">
        <f t="shared" si="20"/>
        <v>0.24260598846259493</v>
      </c>
      <c r="AA132" t="str">
        <f t="shared" si="21"/>
        <v>January</v>
      </c>
      <c r="AB132">
        <f t="shared" si="22"/>
        <v>2024</v>
      </c>
      <c r="AC132" t="str">
        <f t="shared" si="23"/>
        <v>Clean</v>
      </c>
    </row>
    <row r="133" spans="1:29">
      <c r="A133" t="s">
        <v>502</v>
      </c>
      <c r="B133" s="2">
        <v>45929</v>
      </c>
      <c r="C133" s="2">
        <v>45934</v>
      </c>
      <c r="D133" s="3">
        <f t="shared" si="16"/>
        <v>5</v>
      </c>
      <c r="E133" t="s">
        <v>503</v>
      </c>
      <c r="F133" t="s">
        <v>62</v>
      </c>
      <c r="G133" t="s">
        <v>95</v>
      </c>
      <c r="H133" t="s">
        <v>38</v>
      </c>
      <c r="I133" t="s">
        <v>228</v>
      </c>
      <c r="J133" t="s">
        <v>229</v>
      </c>
      <c r="K133" t="s">
        <v>28</v>
      </c>
      <c r="L133" t="s">
        <v>29</v>
      </c>
      <c r="M133" t="s">
        <v>504</v>
      </c>
      <c r="N133" t="s">
        <v>44</v>
      </c>
      <c r="O133">
        <v>9</v>
      </c>
      <c r="P133">
        <v>373.91</v>
      </c>
      <c r="Q133" s="6">
        <v>0.2</v>
      </c>
      <c r="R133">
        <v>2692.15</v>
      </c>
      <c r="S133">
        <v>2044.49</v>
      </c>
      <c r="T133">
        <v>647.66</v>
      </c>
      <c r="U133" t="s">
        <v>32</v>
      </c>
      <c r="V133" t="s">
        <v>33</v>
      </c>
      <c r="W133" s="8">
        <f t="shared" si="17"/>
        <v>0.2</v>
      </c>
      <c r="X133">
        <f t="shared" si="18"/>
        <v>2692.152</v>
      </c>
      <c r="Y133">
        <f t="shared" si="19"/>
        <v>647.66200000000003</v>
      </c>
      <c r="Z133" s="8">
        <f t="shared" si="20"/>
        <v>0.24057408348414205</v>
      </c>
      <c r="AA133" t="str">
        <f t="shared" si="21"/>
        <v>September</v>
      </c>
      <c r="AB133">
        <f t="shared" si="22"/>
        <v>2025</v>
      </c>
      <c r="AC133" t="str">
        <f t="shared" si="23"/>
        <v>Clean</v>
      </c>
    </row>
    <row r="134" spans="1:29">
      <c r="A134" t="s">
        <v>505</v>
      </c>
      <c r="B134" s="2">
        <v>45600</v>
      </c>
      <c r="C134" s="2">
        <v>45600</v>
      </c>
      <c r="D134" s="3">
        <f t="shared" si="16"/>
        <v>0</v>
      </c>
      <c r="E134" t="s">
        <v>506</v>
      </c>
      <c r="F134" t="s">
        <v>264</v>
      </c>
      <c r="G134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274</v>
      </c>
      <c r="M134" t="s">
        <v>507</v>
      </c>
      <c r="N134" t="s">
        <v>50</v>
      </c>
      <c r="O134">
        <v>2</v>
      </c>
      <c r="P134">
        <v>533.08000000000004</v>
      </c>
      <c r="Q134" s="7">
        <v>0</v>
      </c>
      <c r="R134">
        <v>1066.1600000000001</v>
      </c>
      <c r="S134">
        <v>656.3</v>
      </c>
      <c r="T134">
        <v>409.86</v>
      </c>
      <c r="U134" t="s">
        <v>155</v>
      </c>
      <c r="V134" t="s">
        <v>68</v>
      </c>
      <c r="W134" s="8">
        <f t="shared" si="17"/>
        <v>0</v>
      </c>
      <c r="X134">
        <f t="shared" si="18"/>
        <v>1066.1600000000001</v>
      </c>
      <c r="Y134">
        <f t="shared" si="19"/>
        <v>409.86000000000013</v>
      </c>
      <c r="Z134" s="8">
        <f t="shared" si="20"/>
        <v>0.38442635251744589</v>
      </c>
      <c r="AA134" t="str">
        <f t="shared" si="21"/>
        <v>November</v>
      </c>
      <c r="AB134">
        <f t="shared" si="22"/>
        <v>2024</v>
      </c>
      <c r="AC134" t="str">
        <f t="shared" si="23"/>
        <v>Clean</v>
      </c>
    </row>
    <row r="135" spans="1:29">
      <c r="A135" t="s">
        <v>508</v>
      </c>
      <c r="B135" s="2">
        <v>45639</v>
      </c>
      <c r="C135" s="2">
        <v>45644</v>
      </c>
      <c r="D135" s="3">
        <f t="shared" si="16"/>
        <v>5</v>
      </c>
      <c r="E135" t="s">
        <v>509</v>
      </c>
      <c r="F135" t="s">
        <v>23</v>
      </c>
      <c r="G13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510</v>
      </c>
      <c r="N135" t="s">
        <v>31</v>
      </c>
      <c r="O135">
        <v>8</v>
      </c>
      <c r="P135">
        <v>3372.15</v>
      </c>
      <c r="Q135" s="6">
        <v>0.15</v>
      </c>
      <c r="R135">
        <v>22930.62</v>
      </c>
      <c r="S135">
        <v>16875.55</v>
      </c>
      <c r="T135">
        <v>6055.07</v>
      </c>
      <c r="U135" t="s">
        <v>32</v>
      </c>
      <c r="V135" t="s">
        <v>33</v>
      </c>
      <c r="W135" s="8">
        <f t="shared" si="17"/>
        <v>0.15</v>
      </c>
      <c r="X135">
        <f t="shared" si="18"/>
        <v>22930.62</v>
      </c>
      <c r="Y135">
        <f t="shared" si="19"/>
        <v>6055.07</v>
      </c>
      <c r="Z135" s="8">
        <f t="shared" si="20"/>
        <v>0.26406045715292475</v>
      </c>
      <c r="AA135" t="str">
        <f t="shared" si="21"/>
        <v>December</v>
      </c>
      <c r="AB135">
        <f t="shared" si="22"/>
        <v>2024</v>
      </c>
      <c r="AC135" t="str">
        <f t="shared" si="23"/>
        <v>Clean</v>
      </c>
    </row>
    <row r="136" spans="1:29">
      <c r="A136" t="s">
        <v>511</v>
      </c>
      <c r="B136" s="2">
        <v>45852</v>
      </c>
      <c r="C136" s="2">
        <v>45852</v>
      </c>
      <c r="D136" s="3">
        <f t="shared" si="16"/>
        <v>0</v>
      </c>
      <c r="E136" t="s">
        <v>512</v>
      </c>
      <c r="F136" t="s">
        <v>71</v>
      </c>
      <c r="G136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513</v>
      </c>
      <c r="N136" s="4" t="s">
        <v>2760</v>
      </c>
      <c r="O136">
        <v>5</v>
      </c>
      <c r="P136">
        <v>383.1</v>
      </c>
      <c r="Q136" s="6">
        <v>0.25</v>
      </c>
      <c r="R136">
        <v>1436.62</v>
      </c>
      <c r="S136">
        <v>912.52</v>
      </c>
      <c r="T136">
        <v>524.1</v>
      </c>
      <c r="U136" t="s">
        <v>111</v>
      </c>
      <c r="V136" t="s">
        <v>68</v>
      </c>
      <c r="W136" s="8">
        <f t="shared" si="17"/>
        <v>0.25</v>
      </c>
      <c r="X136">
        <f t="shared" si="18"/>
        <v>1436.625</v>
      </c>
      <c r="Y136">
        <f t="shared" si="19"/>
        <v>524.10500000000002</v>
      </c>
      <c r="Z136" s="8">
        <f t="shared" si="20"/>
        <v>0.36481684503610895</v>
      </c>
      <c r="AA136" t="str">
        <f t="shared" si="21"/>
        <v>July</v>
      </c>
      <c r="AB136">
        <f t="shared" si="22"/>
        <v>2025</v>
      </c>
      <c r="AC136" t="str">
        <f t="shared" si="23"/>
        <v>Clean</v>
      </c>
    </row>
    <row r="137" spans="1:29">
      <c r="A137" t="s">
        <v>514</v>
      </c>
      <c r="B137" s="2">
        <v>45893</v>
      </c>
      <c r="C137" s="2">
        <v>45893</v>
      </c>
      <c r="D137" s="3">
        <f t="shared" si="16"/>
        <v>0</v>
      </c>
      <c r="E137" t="s">
        <v>515</v>
      </c>
      <c r="F137" t="s">
        <v>162</v>
      </c>
      <c r="G137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516</v>
      </c>
      <c r="N137" t="s">
        <v>59</v>
      </c>
      <c r="O137">
        <v>1</v>
      </c>
      <c r="P137">
        <v>3424.78</v>
      </c>
      <c r="Q137" s="7">
        <v>0</v>
      </c>
      <c r="R137">
        <v>3424.78</v>
      </c>
      <c r="S137">
        <v>1951.45</v>
      </c>
      <c r="T137">
        <v>1473.33</v>
      </c>
      <c r="U137" t="s">
        <v>32</v>
      </c>
      <c r="V137" t="s">
        <v>33</v>
      </c>
      <c r="W137" s="8">
        <f t="shared" si="17"/>
        <v>0</v>
      </c>
      <c r="X137">
        <f t="shared" si="18"/>
        <v>3424.78</v>
      </c>
      <c r="Y137">
        <f t="shared" si="19"/>
        <v>1473.3300000000002</v>
      </c>
      <c r="Z137" s="8">
        <f t="shared" si="20"/>
        <v>0.43019697615613267</v>
      </c>
      <c r="AA137" t="str">
        <f t="shared" si="21"/>
        <v>August</v>
      </c>
      <c r="AB137">
        <f t="shared" si="22"/>
        <v>2025</v>
      </c>
      <c r="AC137" t="str">
        <f t="shared" si="23"/>
        <v>Clean</v>
      </c>
    </row>
    <row r="138" spans="1:29">
      <c r="A138" t="s">
        <v>517</v>
      </c>
      <c r="B138" s="2">
        <v>45902</v>
      </c>
      <c r="C138" s="2">
        <v>45703</v>
      </c>
      <c r="D138" s="5">
        <f t="shared" si="16"/>
        <v>-199</v>
      </c>
      <c r="E138" t="s">
        <v>518</v>
      </c>
      <c r="F138" t="s">
        <v>36</v>
      </c>
      <c r="G138" t="s">
        <v>95</v>
      </c>
      <c r="H138" t="s">
        <v>38</v>
      </c>
      <c r="I138" t="s">
        <v>228</v>
      </c>
      <c r="J138" t="s">
        <v>229</v>
      </c>
      <c r="K138" t="s">
        <v>28</v>
      </c>
      <c r="L138" t="s">
        <v>153</v>
      </c>
      <c r="M138" t="s">
        <v>519</v>
      </c>
      <c r="N138" t="s">
        <v>59</v>
      </c>
      <c r="O138">
        <v>9</v>
      </c>
      <c r="P138">
        <v>4330.33</v>
      </c>
      <c r="Q138" s="6">
        <v>0.2</v>
      </c>
      <c r="R138">
        <v>31178.38</v>
      </c>
      <c r="S138">
        <v>21421.09</v>
      </c>
      <c r="T138">
        <v>9757.2900000000009</v>
      </c>
      <c r="U138" t="s">
        <v>32</v>
      </c>
      <c r="V138" t="s">
        <v>33</v>
      </c>
      <c r="W138" s="8">
        <f t="shared" si="17"/>
        <v>0.2</v>
      </c>
      <c r="X138">
        <f t="shared" si="18"/>
        <v>31178.376000000004</v>
      </c>
      <c r="Y138">
        <f t="shared" si="19"/>
        <v>9757.2860000000037</v>
      </c>
      <c r="Z138" s="8">
        <f t="shared" si="20"/>
        <v>0.31295042435821552</v>
      </c>
      <c r="AA138" t="str">
        <f t="shared" si="21"/>
        <v>September</v>
      </c>
      <c r="AB138">
        <f t="shared" si="22"/>
        <v>2025</v>
      </c>
      <c r="AC138" t="str">
        <f t="shared" si="23"/>
        <v>Warning</v>
      </c>
    </row>
    <row r="139" spans="1:29">
      <c r="A139" t="s">
        <v>520</v>
      </c>
      <c r="B139" s="2">
        <v>45666</v>
      </c>
      <c r="C139" s="2">
        <v>45666</v>
      </c>
      <c r="D139" s="3">
        <f t="shared" si="16"/>
        <v>0</v>
      </c>
      <c r="E139" t="s">
        <v>521</v>
      </c>
      <c r="F139" t="s">
        <v>132</v>
      </c>
      <c r="G139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522</v>
      </c>
      <c r="N139" t="s">
        <v>44</v>
      </c>
      <c r="O139">
        <v>8</v>
      </c>
      <c r="P139">
        <v>2667.07</v>
      </c>
      <c r="Q139" s="6">
        <v>0.1</v>
      </c>
      <c r="R139">
        <v>19202.900000000001</v>
      </c>
      <c r="S139">
        <v>15526.62</v>
      </c>
      <c r="T139">
        <v>3676.28</v>
      </c>
      <c r="U139" t="s">
        <v>32</v>
      </c>
      <c r="V139" t="s">
        <v>33</v>
      </c>
      <c r="W139" s="8">
        <f t="shared" si="17"/>
        <v>0.1</v>
      </c>
      <c r="X139">
        <f t="shared" si="18"/>
        <v>19202.904000000002</v>
      </c>
      <c r="Y139">
        <f t="shared" si="19"/>
        <v>3676.2840000000015</v>
      </c>
      <c r="Z139" s="8">
        <f t="shared" si="20"/>
        <v>0.19144416906942829</v>
      </c>
      <c r="AA139" t="str">
        <f t="shared" si="21"/>
        <v>January</v>
      </c>
      <c r="AB139">
        <f t="shared" si="22"/>
        <v>2025</v>
      </c>
      <c r="AC139" t="str">
        <f t="shared" si="23"/>
        <v>Clean</v>
      </c>
    </row>
    <row r="140" spans="1:29">
      <c r="A140" t="s">
        <v>523</v>
      </c>
      <c r="B140" s="2">
        <v>45311</v>
      </c>
      <c r="C140" s="2">
        <v>45317</v>
      </c>
      <c r="D140" s="3">
        <f t="shared" si="16"/>
        <v>6</v>
      </c>
      <c r="E140" t="s">
        <v>524</v>
      </c>
      <c r="F140" t="s">
        <v>162</v>
      </c>
      <c r="G140" t="s">
        <v>95</v>
      </c>
      <c r="H140" t="s">
        <v>38</v>
      </c>
      <c r="I140" t="s">
        <v>228</v>
      </c>
      <c r="J140" t="s">
        <v>229</v>
      </c>
      <c r="K140" t="s">
        <v>74</v>
      </c>
      <c r="L140" t="s">
        <v>274</v>
      </c>
      <c r="M140" t="s">
        <v>525</v>
      </c>
      <c r="N140" t="s">
        <v>59</v>
      </c>
      <c r="O140">
        <v>8</v>
      </c>
      <c r="P140">
        <v>4003.05</v>
      </c>
      <c r="Q140" s="6">
        <v>0.25</v>
      </c>
      <c r="R140">
        <v>24018.3</v>
      </c>
      <c r="S140">
        <v>14070.78</v>
      </c>
      <c r="T140">
        <v>9947.52</v>
      </c>
      <c r="U140" t="s">
        <v>32</v>
      </c>
      <c r="V140" t="s">
        <v>33</v>
      </c>
      <c r="W140" s="8">
        <f t="shared" si="17"/>
        <v>0.25</v>
      </c>
      <c r="X140">
        <f t="shared" si="18"/>
        <v>24018.300000000003</v>
      </c>
      <c r="Y140">
        <f t="shared" si="19"/>
        <v>9947.5200000000023</v>
      </c>
      <c r="Z140" s="8">
        <f t="shared" si="20"/>
        <v>0.41416419979765434</v>
      </c>
      <c r="AA140" t="str">
        <f t="shared" si="21"/>
        <v>January</v>
      </c>
      <c r="AB140">
        <f t="shared" si="22"/>
        <v>2024</v>
      </c>
      <c r="AC140" t="str">
        <f t="shared" si="23"/>
        <v>Clean</v>
      </c>
    </row>
    <row r="141" spans="1:29">
      <c r="A141" t="s">
        <v>526</v>
      </c>
      <c r="B141" s="2">
        <v>45718</v>
      </c>
      <c r="C141" s="2">
        <v>45841</v>
      </c>
      <c r="D141" s="3">
        <f t="shared" si="16"/>
        <v>123</v>
      </c>
      <c r="E141" t="s">
        <v>527</v>
      </c>
      <c r="F141" t="s">
        <v>79</v>
      </c>
      <c r="G141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528</v>
      </c>
      <c r="N141" t="s">
        <v>59</v>
      </c>
      <c r="O141">
        <v>8</v>
      </c>
      <c r="P141">
        <v>1287.6300000000001</v>
      </c>
      <c r="Q141" s="7">
        <v>0</v>
      </c>
      <c r="R141">
        <v>10301.040000000001</v>
      </c>
      <c r="S141">
        <v>6564.06</v>
      </c>
      <c r="T141">
        <v>3736.98</v>
      </c>
      <c r="U141" t="s">
        <v>32</v>
      </c>
      <c r="V141" t="s">
        <v>33</v>
      </c>
      <c r="W141" s="8">
        <f t="shared" si="17"/>
        <v>0</v>
      </c>
      <c r="X141">
        <f t="shared" si="18"/>
        <v>10301.040000000001</v>
      </c>
      <c r="Y141">
        <f t="shared" si="19"/>
        <v>3736.9800000000005</v>
      </c>
      <c r="Z141" s="8">
        <f t="shared" si="20"/>
        <v>0.3627769623261341</v>
      </c>
      <c r="AA141" t="str">
        <f t="shared" si="21"/>
        <v>March</v>
      </c>
      <c r="AB141">
        <f t="shared" si="22"/>
        <v>2025</v>
      </c>
      <c r="AC141" t="str">
        <f t="shared" si="23"/>
        <v>Clean</v>
      </c>
    </row>
    <row r="142" spans="1:29">
      <c r="A142" t="s">
        <v>529</v>
      </c>
      <c r="B142" s="2">
        <v>45443</v>
      </c>
      <c r="C142" s="2">
        <v>45444</v>
      </c>
      <c r="D142" s="3">
        <f t="shared" si="16"/>
        <v>1</v>
      </c>
      <c r="E142" t="s">
        <v>530</v>
      </c>
      <c r="F142" t="s">
        <v>36</v>
      </c>
      <c r="G142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531</v>
      </c>
      <c r="N142" t="s">
        <v>44</v>
      </c>
      <c r="O142">
        <v>3</v>
      </c>
      <c r="P142">
        <v>2914.55</v>
      </c>
      <c r="Q142" s="7">
        <v>0</v>
      </c>
      <c r="R142">
        <v>8743.65</v>
      </c>
      <c r="S142">
        <v>6603.76</v>
      </c>
      <c r="T142">
        <v>2139.89</v>
      </c>
      <c r="U142" t="s">
        <v>32</v>
      </c>
      <c r="V142" t="s">
        <v>33</v>
      </c>
      <c r="W142" s="8">
        <f t="shared" si="17"/>
        <v>0</v>
      </c>
      <c r="X142">
        <f t="shared" si="18"/>
        <v>8743.6500000000015</v>
      </c>
      <c r="Y142">
        <f t="shared" si="19"/>
        <v>2139.8900000000012</v>
      </c>
      <c r="Z142" s="8">
        <f t="shared" si="20"/>
        <v>0.24473646589239059</v>
      </c>
      <c r="AA142" t="str">
        <f t="shared" si="21"/>
        <v>May</v>
      </c>
      <c r="AB142">
        <f t="shared" si="22"/>
        <v>2024</v>
      </c>
      <c r="AC142" t="str">
        <f t="shared" si="23"/>
        <v>Clean</v>
      </c>
    </row>
    <row r="143" spans="1:29">
      <c r="A143" t="s">
        <v>532</v>
      </c>
      <c r="B143" s="2">
        <v>45374</v>
      </c>
      <c r="C143" s="2">
        <v>45380</v>
      </c>
      <c r="D143" s="3">
        <f t="shared" si="16"/>
        <v>6</v>
      </c>
      <c r="E143" t="s">
        <v>533</v>
      </c>
      <c r="F143" t="s">
        <v>114</v>
      </c>
      <c r="G143" t="s">
        <v>90</v>
      </c>
      <c r="H143" t="s">
        <v>25</v>
      </c>
      <c r="I143" t="s">
        <v>350</v>
      </c>
      <c r="J143" t="s">
        <v>351</v>
      </c>
      <c r="K143" t="s">
        <v>41</v>
      </c>
      <c r="L143" t="s">
        <v>158</v>
      </c>
      <c r="M143" t="s">
        <v>534</v>
      </c>
      <c r="N143" t="s">
        <v>44</v>
      </c>
      <c r="O143">
        <v>7</v>
      </c>
      <c r="P143">
        <v>634.29</v>
      </c>
      <c r="Q143" s="6">
        <v>0.1</v>
      </c>
      <c r="R143">
        <v>3996.03</v>
      </c>
      <c r="S143">
        <v>2859.51</v>
      </c>
      <c r="T143">
        <v>1136.52</v>
      </c>
      <c r="U143" t="s">
        <v>32</v>
      </c>
      <c r="V143" t="s">
        <v>103</v>
      </c>
      <c r="W143" s="8">
        <f t="shared" si="17"/>
        <v>0.1</v>
      </c>
      <c r="X143">
        <f t="shared" si="18"/>
        <v>3996.027</v>
      </c>
      <c r="Y143">
        <f t="shared" si="19"/>
        <v>1136.5169999999998</v>
      </c>
      <c r="Z143" s="8">
        <f t="shared" si="20"/>
        <v>0.28441174196270441</v>
      </c>
      <c r="AA143" t="str">
        <f t="shared" si="21"/>
        <v>March</v>
      </c>
      <c r="AB143">
        <f t="shared" si="22"/>
        <v>2024</v>
      </c>
      <c r="AC143" t="str">
        <f t="shared" si="23"/>
        <v>Clean</v>
      </c>
    </row>
    <row r="144" spans="1:29">
      <c r="A144" s="4" t="s">
        <v>535</v>
      </c>
      <c r="B144" s="2">
        <v>45381</v>
      </c>
      <c r="C144" s="2">
        <v>45377</v>
      </c>
      <c r="D144" s="5">
        <f t="shared" si="16"/>
        <v>-4</v>
      </c>
      <c r="E144" t="s">
        <v>536</v>
      </c>
      <c r="F144" t="s">
        <v>89</v>
      </c>
      <c r="G144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537</v>
      </c>
      <c r="N144" t="s">
        <v>31</v>
      </c>
      <c r="O144">
        <v>5</v>
      </c>
      <c r="P144">
        <v>907.54</v>
      </c>
      <c r="Q144" s="6">
        <v>0.15</v>
      </c>
      <c r="R144">
        <v>3857.04</v>
      </c>
      <c r="S144">
        <v>2769.26</v>
      </c>
      <c r="T144">
        <v>1087.78</v>
      </c>
      <c r="U144" t="s">
        <v>32</v>
      </c>
      <c r="V144" t="s">
        <v>33</v>
      </c>
      <c r="W144" s="8">
        <f t="shared" si="17"/>
        <v>0.15</v>
      </c>
      <c r="X144">
        <f t="shared" si="18"/>
        <v>3857.0449999999996</v>
      </c>
      <c r="Y144">
        <f t="shared" si="19"/>
        <v>1087.7849999999994</v>
      </c>
      <c r="Z144" s="8">
        <f t="shared" si="20"/>
        <v>0.28202548842442843</v>
      </c>
      <c r="AA144" t="str">
        <f t="shared" si="21"/>
        <v>March</v>
      </c>
      <c r="AB144">
        <f t="shared" si="22"/>
        <v>2024</v>
      </c>
      <c r="AC144" t="str">
        <f t="shared" si="23"/>
        <v>Warning</v>
      </c>
    </row>
    <row r="145" spans="1:29">
      <c r="A145" t="s">
        <v>538</v>
      </c>
      <c r="B145" s="2">
        <v>45375</v>
      </c>
      <c r="C145" s="2">
        <v>45377</v>
      </c>
      <c r="D145" s="3">
        <f t="shared" si="16"/>
        <v>2</v>
      </c>
      <c r="E145" t="s">
        <v>539</v>
      </c>
      <c r="F145" t="s">
        <v>114</v>
      </c>
      <c r="G14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540</v>
      </c>
      <c r="N145" t="s">
        <v>31</v>
      </c>
      <c r="O145">
        <v>1</v>
      </c>
      <c r="P145">
        <v>3409.5</v>
      </c>
      <c r="Q145" s="6">
        <v>0.1</v>
      </c>
      <c r="R145">
        <v>3068.55</v>
      </c>
      <c r="S145">
        <v>1916.16</v>
      </c>
      <c r="T145">
        <v>1152.3900000000001</v>
      </c>
      <c r="U145" t="s">
        <v>32</v>
      </c>
      <c r="V145" t="s">
        <v>103</v>
      </c>
      <c r="W145" s="8">
        <f t="shared" si="17"/>
        <v>0.1</v>
      </c>
      <c r="X145">
        <f t="shared" si="18"/>
        <v>3068.55</v>
      </c>
      <c r="Y145">
        <f t="shared" si="19"/>
        <v>1152.3900000000001</v>
      </c>
      <c r="Z145" s="8">
        <f t="shared" si="20"/>
        <v>0.3755487119323459</v>
      </c>
      <c r="AA145" t="str">
        <f t="shared" si="21"/>
        <v>March</v>
      </c>
      <c r="AB145">
        <f t="shared" si="22"/>
        <v>2024</v>
      </c>
      <c r="AC145" t="str">
        <f t="shared" si="23"/>
        <v>Clean</v>
      </c>
    </row>
    <row r="146" spans="1:29">
      <c r="A146" t="s">
        <v>541</v>
      </c>
      <c r="B146" s="2">
        <v>45479</v>
      </c>
      <c r="C146" s="2">
        <v>45458</v>
      </c>
      <c r="D146" s="5">
        <f t="shared" si="16"/>
        <v>-21</v>
      </c>
      <c r="E146" t="s">
        <v>542</v>
      </c>
      <c r="F146" t="s">
        <v>264</v>
      </c>
      <c r="G146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543</v>
      </c>
      <c r="N146" t="s">
        <v>50</v>
      </c>
      <c r="O146">
        <v>7</v>
      </c>
      <c r="P146">
        <v>2147.9899999999998</v>
      </c>
      <c r="Q146" s="6">
        <v>0.25</v>
      </c>
      <c r="R146">
        <v>11276.95</v>
      </c>
      <c r="S146">
        <v>6908.76</v>
      </c>
      <c r="T146">
        <v>4368.1899999999996</v>
      </c>
      <c r="U146" t="s">
        <v>102</v>
      </c>
      <c r="V146" t="s">
        <v>103</v>
      </c>
      <c r="W146" s="8">
        <f t="shared" si="17"/>
        <v>0.25</v>
      </c>
      <c r="X146">
        <f t="shared" si="18"/>
        <v>11276.947499999998</v>
      </c>
      <c r="Y146">
        <f t="shared" si="19"/>
        <v>4368.1874999999982</v>
      </c>
      <c r="Z146" s="8">
        <f t="shared" si="20"/>
        <v>0.38735548782150481</v>
      </c>
      <c r="AA146" t="str">
        <f t="shared" si="21"/>
        <v>July</v>
      </c>
      <c r="AB146">
        <f t="shared" si="22"/>
        <v>2024</v>
      </c>
      <c r="AC146" t="str">
        <f t="shared" si="23"/>
        <v>Warning</v>
      </c>
    </row>
    <row r="147" spans="1:29">
      <c r="A147" t="s">
        <v>544</v>
      </c>
      <c r="B147" s="2">
        <v>45965</v>
      </c>
      <c r="C147" s="2">
        <v>45760</v>
      </c>
      <c r="D147" s="5">
        <f t="shared" si="16"/>
        <v>-205</v>
      </c>
      <c r="E147" t="s">
        <v>545</v>
      </c>
      <c r="F147" t="s">
        <v>36</v>
      </c>
      <c r="G147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546</v>
      </c>
      <c r="N147" t="s">
        <v>59</v>
      </c>
      <c r="O147">
        <v>4</v>
      </c>
      <c r="P147">
        <v>4182.1499999999996</v>
      </c>
      <c r="Q147" s="6">
        <v>0.1</v>
      </c>
      <c r="R147">
        <v>15055.74</v>
      </c>
      <c r="S147">
        <v>9808.83</v>
      </c>
      <c r="T147">
        <v>5246.91</v>
      </c>
      <c r="U147" t="s">
        <v>32</v>
      </c>
      <c r="V147" t="s">
        <v>33</v>
      </c>
      <c r="W147" s="8">
        <f t="shared" si="17"/>
        <v>0.1</v>
      </c>
      <c r="X147">
        <f t="shared" si="18"/>
        <v>15055.74</v>
      </c>
      <c r="Y147">
        <f t="shared" si="19"/>
        <v>5246.91</v>
      </c>
      <c r="Z147" s="8">
        <f t="shared" si="20"/>
        <v>0.34849897779850075</v>
      </c>
      <c r="AA147" t="str">
        <f t="shared" si="21"/>
        <v>November</v>
      </c>
      <c r="AB147">
        <f t="shared" si="22"/>
        <v>2025</v>
      </c>
      <c r="AC147" t="str">
        <f t="shared" si="23"/>
        <v>Warning</v>
      </c>
    </row>
    <row r="148" spans="1:29">
      <c r="A148" t="s">
        <v>547</v>
      </c>
      <c r="B148" s="2">
        <v>45868</v>
      </c>
      <c r="C148" s="2">
        <v>45870</v>
      </c>
      <c r="D148" s="3">
        <f t="shared" si="16"/>
        <v>2</v>
      </c>
      <c r="E148" t="s">
        <v>548</v>
      </c>
      <c r="F148" t="s">
        <v>132</v>
      </c>
      <c r="G148" t="s">
        <v>37</v>
      </c>
      <c r="H148" t="s">
        <v>54</v>
      </c>
      <c r="I148" t="s">
        <v>247</v>
      </c>
      <c r="J148" t="s">
        <v>248</v>
      </c>
      <c r="K148" t="s">
        <v>28</v>
      </c>
      <c r="L148" t="s">
        <v>124</v>
      </c>
      <c r="M148" t="s">
        <v>549</v>
      </c>
      <c r="N148" t="s">
        <v>44</v>
      </c>
      <c r="O148">
        <v>9</v>
      </c>
      <c r="P148">
        <v>3165.43</v>
      </c>
      <c r="Q148" s="6">
        <v>0.1</v>
      </c>
      <c r="R148">
        <v>25639.98</v>
      </c>
      <c r="S148">
        <v>21635.08</v>
      </c>
      <c r="T148">
        <v>4004.9</v>
      </c>
      <c r="U148" t="s">
        <v>32</v>
      </c>
      <c r="V148" t="s">
        <v>33</v>
      </c>
      <c r="W148" s="8">
        <f t="shared" si="17"/>
        <v>0.1</v>
      </c>
      <c r="X148">
        <f t="shared" si="18"/>
        <v>25639.983</v>
      </c>
      <c r="Y148">
        <f t="shared" si="19"/>
        <v>4004.9029999999984</v>
      </c>
      <c r="Z148" s="8">
        <f t="shared" si="20"/>
        <v>0.1561975684617263</v>
      </c>
      <c r="AA148" t="str">
        <f t="shared" si="21"/>
        <v>July</v>
      </c>
      <c r="AB148">
        <f t="shared" si="22"/>
        <v>2025</v>
      </c>
      <c r="AC148" t="str">
        <f t="shared" si="23"/>
        <v>Clean</v>
      </c>
    </row>
    <row r="149" spans="1:29">
      <c r="A149" t="s">
        <v>550</v>
      </c>
      <c r="B149" s="2">
        <v>45649</v>
      </c>
      <c r="C149" s="2">
        <v>45656</v>
      </c>
      <c r="D149" s="3">
        <f t="shared" si="16"/>
        <v>7</v>
      </c>
      <c r="E149" t="s">
        <v>551</v>
      </c>
      <c r="F149" t="s">
        <v>114</v>
      </c>
      <c r="G149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552</v>
      </c>
      <c r="N149" t="s">
        <v>50</v>
      </c>
      <c r="O149">
        <v>8</v>
      </c>
      <c r="P149">
        <v>386.1</v>
      </c>
      <c r="Q149" s="6">
        <v>0.1</v>
      </c>
      <c r="R149">
        <v>2779.92</v>
      </c>
      <c r="S149">
        <v>1744.05</v>
      </c>
      <c r="T149">
        <v>1035.8699999999999</v>
      </c>
      <c r="U149" t="s">
        <v>32</v>
      </c>
      <c r="V149" t="s">
        <v>33</v>
      </c>
      <c r="W149" s="8">
        <f t="shared" si="17"/>
        <v>0.1</v>
      </c>
      <c r="X149">
        <f t="shared" si="18"/>
        <v>2779.92</v>
      </c>
      <c r="Y149">
        <f t="shared" si="19"/>
        <v>1035.8700000000001</v>
      </c>
      <c r="Z149" s="8">
        <f t="shared" si="20"/>
        <v>0.37262583095916435</v>
      </c>
      <c r="AA149" t="str">
        <f t="shared" si="21"/>
        <v>December</v>
      </c>
      <c r="AB149">
        <f t="shared" si="22"/>
        <v>2024</v>
      </c>
      <c r="AC149" t="str">
        <f t="shared" si="23"/>
        <v>Clean</v>
      </c>
    </row>
    <row r="150" spans="1:29">
      <c r="A150" t="s">
        <v>553</v>
      </c>
      <c r="B150" s="2">
        <v>45697</v>
      </c>
      <c r="C150" s="2">
        <v>45701</v>
      </c>
      <c r="D150" s="3">
        <f t="shared" si="16"/>
        <v>4</v>
      </c>
      <c r="E150" t="s">
        <v>554</v>
      </c>
      <c r="F150" t="s">
        <v>36</v>
      </c>
      <c r="G150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555</v>
      </c>
      <c r="N150" s="4" t="s">
        <v>2760</v>
      </c>
      <c r="O150">
        <v>8</v>
      </c>
      <c r="P150">
        <v>1696.07</v>
      </c>
      <c r="Q150" s="6">
        <v>0.25</v>
      </c>
      <c r="R150">
        <v>10176.42</v>
      </c>
      <c r="S150">
        <v>7604.47</v>
      </c>
      <c r="T150">
        <v>2571.9499999999998</v>
      </c>
      <c r="U150" t="s">
        <v>32</v>
      </c>
      <c r="V150" t="s">
        <v>33</v>
      </c>
      <c r="W150" s="8">
        <f t="shared" si="17"/>
        <v>0.25</v>
      </c>
      <c r="X150">
        <f t="shared" si="18"/>
        <v>10176.42</v>
      </c>
      <c r="Y150">
        <f t="shared" si="19"/>
        <v>2571.9499999999998</v>
      </c>
      <c r="Z150" s="8">
        <f t="shared" si="20"/>
        <v>0.252736227474888</v>
      </c>
      <c r="AA150" t="str">
        <f t="shared" si="21"/>
        <v>February</v>
      </c>
      <c r="AB150">
        <f t="shared" si="22"/>
        <v>2025</v>
      </c>
      <c r="AC150" t="str">
        <f t="shared" si="23"/>
        <v>Clean</v>
      </c>
    </row>
    <row r="151" spans="1:29">
      <c r="A151" t="s">
        <v>556</v>
      </c>
      <c r="B151" s="2">
        <v>45321</v>
      </c>
      <c r="C151" s="2">
        <v>45321</v>
      </c>
      <c r="D151" s="3">
        <f t="shared" si="16"/>
        <v>0</v>
      </c>
      <c r="E151" t="s">
        <v>557</v>
      </c>
      <c r="F151" t="s">
        <v>128</v>
      </c>
      <c r="G151" t="s">
        <v>37</v>
      </c>
      <c r="H151" t="s">
        <v>63</v>
      </c>
      <c r="I151" t="s">
        <v>26</v>
      </c>
      <c r="J151" t="s">
        <v>109</v>
      </c>
      <c r="K151" t="s">
        <v>74</v>
      </c>
      <c r="L151" t="s">
        <v>80</v>
      </c>
      <c r="M151" t="s">
        <v>558</v>
      </c>
      <c r="N151" t="s">
        <v>44</v>
      </c>
      <c r="O151">
        <v>7</v>
      </c>
      <c r="P151">
        <v>2527.61</v>
      </c>
      <c r="Q151" s="6">
        <v>0.25</v>
      </c>
      <c r="R151">
        <v>13269.95</v>
      </c>
      <c r="S151">
        <v>8977.1</v>
      </c>
      <c r="T151">
        <v>4292.8500000000004</v>
      </c>
      <c r="U151" t="s">
        <v>32</v>
      </c>
      <c r="V151" t="s">
        <v>33</v>
      </c>
      <c r="W151" s="8">
        <f t="shared" si="17"/>
        <v>0.25</v>
      </c>
      <c r="X151">
        <f t="shared" si="18"/>
        <v>13269.952499999999</v>
      </c>
      <c r="Y151">
        <f t="shared" si="19"/>
        <v>4292.8524999999991</v>
      </c>
      <c r="Z151" s="8">
        <f t="shared" si="20"/>
        <v>0.32350172315989822</v>
      </c>
      <c r="AA151" t="str">
        <f t="shared" si="21"/>
        <v>January</v>
      </c>
      <c r="AB151">
        <f t="shared" si="22"/>
        <v>2024</v>
      </c>
      <c r="AC151" t="str">
        <f t="shared" si="23"/>
        <v>Clean</v>
      </c>
    </row>
    <row r="152" spans="1:29">
      <c r="A152" t="s">
        <v>559</v>
      </c>
      <c r="B152" s="2">
        <v>45385</v>
      </c>
      <c r="C152" s="2">
        <v>45363</v>
      </c>
      <c r="D152" s="5">
        <f t="shared" si="16"/>
        <v>-22</v>
      </c>
      <c r="E152" t="s">
        <v>560</v>
      </c>
      <c r="F152" t="s">
        <v>53</v>
      </c>
      <c r="G152" t="s">
        <v>24</v>
      </c>
      <c r="H152" s="4" t="s">
        <v>2760</v>
      </c>
      <c r="I152" t="s">
        <v>180</v>
      </c>
      <c r="J152" t="s">
        <v>181</v>
      </c>
      <c r="K152" t="s">
        <v>41</v>
      </c>
      <c r="L152" t="s">
        <v>158</v>
      </c>
      <c r="M152" t="s">
        <v>561</v>
      </c>
      <c r="N152" t="s">
        <v>50</v>
      </c>
      <c r="O152">
        <v>1</v>
      </c>
      <c r="P152">
        <v>1554.12</v>
      </c>
      <c r="Q152" s="6">
        <v>0.1</v>
      </c>
      <c r="R152">
        <v>1398.71</v>
      </c>
      <c r="S152">
        <v>1056.92</v>
      </c>
      <c r="T152">
        <v>341.79</v>
      </c>
      <c r="U152" t="s">
        <v>32</v>
      </c>
      <c r="V152" t="s">
        <v>33</v>
      </c>
      <c r="W152" s="8">
        <f t="shared" si="17"/>
        <v>0.1</v>
      </c>
      <c r="X152">
        <f t="shared" si="18"/>
        <v>1398.7079999999999</v>
      </c>
      <c r="Y152">
        <f t="shared" si="19"/>
        <v>341.78799999999978</v>
      </c>
      <c r="Z152" s="8">
        <f t="shared" si="20"/>
        <v>0.24435979489643286</v>
      </c>
      <c r="AA152" t="str">
        <f t="shared" si="21"/>
        <v>April</v>
      </c>
      <c r="AB152">
        <f t="shared" si="22"/>
        <v>2024</v>
      </c>
      <c r="AC152" t="str">
        <f t="shared" si="23"/>
        <v>Warning</v>
      </c>
    </row>
    <row r="153" spans="1:29">
      <c r="A153" t="s">
        <v>562</v>
      </c>
      <c r="B153" s="2">
        <v>45470</v>
      </c>
      <c r="C153" s="2">
        <v>45470</v>
      </c>
      <c r="D153" s="3">
        <f t="shared" si="16"/>
        <v>0</v>
      </c>
      <c r="E153" t="s">
        <v>563</v>
      </c>
      <c r="F153" t="s">
        <v>79</v>
      </c>
      <c r="G153" t="s">
        <v>95</v>
      </c>
      <c r="H153" s="4" t="s">
        <v>2760</v>
      </c>
      <c r="I153" t="s">
        <v>72</v>
      </c>
      <c r="J153" t="s">
        <v>73</v>
      </c>
      <c r="K153" t="s">
        <v>74</v>
      </c>
      <c r="L153" t="s">
        <v>80</v>
      </c>
      <c r="M153" t="s">
        <v>564</v>
      </c>
      <c r="N153" t="s">
        <v>59</v>
      </c>
      <c r="O153">
        <v>2</v>
      </c>
      <c r="P153">
        <v>3859.11</v>
      </c>
      <c r="Q153" s="7">
        <v>0</v>
      </c>
      <c r="R153">
        <v>7718.22</v>
      </c>
      <c r="S153">
        <v>5355.93</v>
      </c>
      <c r="T153">
        <v>2362.29</v>
      </c>
      <c r="U153" t="s">
        <v>111</v>
      </c>
      <c r="V153" t="s">
        <v>103</v>
      </c>
      <c r="W153" s="8">
        <f t="shared" si="17"/>
        <v>0</v>
      </c>
      <c r="X153">
        <f t="shared" si="18"/>
        <v>7718.22</v>
      </c>
      <c r="Y153">
        <f t="shared" si="19"/>
        <v>2362.29</v>
      </c>
      <c r="Z153" s="8">
        <f t="shared" si="20"/>
        <v>0.30606668376905555</v>
      </c>
      <c r="AA153" t="str">
        <f t="shared" si="21"/>
        <v>June</v>
      </c>
      <c r="AB153">
        <f t="shared" si="22"/>
        <v>2024</v>
      </c>
      <c r="AC153" t="str">
        <f t="shared" si="23"/>
        <v>Clean</v>
      </c>
    </row>
    <row r="154" spans="1:29">
      <c r="A154" t="s">
        <v>565</v>
      </c>
      <c r="B154" s="2">
        <v>45457</v>
      </c>
      <c r="C154" s="2">
        <v>45460</v>
      </c>
      <c r="D154" s="3">
        <f t="shared" si="16"/>
        <v>3</v>
      </c>
      <c r="E154" t="s">
        <v>566</v>
      </c>
      <c r="F154" t="s">
        <v>264</v>
      </c>
      <c r="G154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567</v>
      </c>
      <c r="N154" t="s">
        <v>31</v>
      </c>
      <c r="O154">
        <v>6</v>
      </c>
      <c r="P154">
        <v>1088.04</v>
      </c>
      <c r="Q154" s="6">
        <v>0.1</v>
      </c>
      <c r="R154">
        <v>5875.42</v>
      </c>
      <c r="S154">
        <v>4380.55</v>
      </c>
      <c r="T154">
        <v>1494.87</v>
      </c>
      <c r="U154" t="s">
        <v>111</v>
      </c>
      <c r="V154" t="s">
        <v>103</v>
      </c>
      <c r="W154" s="8">
        <f t="shared" si="17"/>
        <v>0.1</v>
      </c>
      <c r="X154">
        <f t="shared" si="18"/>
        <v>5875.4160000000002</v>
      </c>
      <c r="Y154">
        <f t="shared" si="19"/>
        <v>1494.866</v>
      </c>
      <c r="Z154" s="8">
        <f t="shared" si="20"/>
        <v>0.25442726098032886</v>
      </c>
      <c r="AA154" t="str">
        <f t="shared" si="21"/>
        <v>June</v>
      </c>
      <c r="AB154">
        <f t="shared" si="22"/>
        <v>2024</v>
      </c>
      <c r="AC154" t="str">
        <f t="shared" si="23"/>
        <v>Clean</v>
      </c>
    </row>
    <row r="155" spans="1:29">
      <c r="A155" t="s">
        <v>568</v>
      </c>
      <c r="B155" s="2">
        <v>45923</v>
      </c>
      <c r="C155" s="2">
        <v>45925</v>
      </c>
      <c r="D155" s="3">
        <f t="shared" si="16"/>
        <v>2</v>
      </c>
      <c r="E155" t="s">
        <v>569</v>
      </c>
      <c r="F155" t="s">
        <v>89</v>
      </c>
      <c r="G15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570</v>
      </c>
      <c r="N155" t="s">
        <v>59</v>
      </c>
      <c r="O155">
        <v>7</v>
      </c>
      <c r="P155">
        <v>3280.31</v>
      </c>
      <c r="Q155" s="7">
        <v>0</v>
      </c>
      <c r="R155">
        <v>22962.17</v>
      </c>
      <c r="S155">
        <v>15716.5</v>
      </c>
      <c r="T155">
        <v>7245.67</v>
      </c>
      <c r="U155" t="s">
        <v>102</v>
      </c>
      <c r="V155" t="s">
        <v>103</v>
      </c>
      <c r="W155" s="8">
        <f t="shared" si="17"/>
        <v>0</v>
      </c>
      <c r="X155">
        <f t="shared" si="18"/>
        <v>22962.17</v>
      </c>
      <c r="Y155">
        <f t="shared" si="19"/>
        <v>7245.6699999999983</v>
      </c>
      <c r="Z155" s="8">
        <f t="shared" si="20"/>
        <v>0.31554813852523517</v>
      </c>
      <c r="AA155" t="str">
        <f t="shared" si="21"/>
        <v>September</v>
      </c>
      <c r="AB155">
        <f t="shared" si="22"/>
        <v>2025</v>
      </c>
      <c r="AC155" t="str">
        <f t="shared" si="23"/>
        <v>Clean</v>
      </c>
    </row>
    <row r="156" spans="1:29">
      <c r="A156" t="s">
        <v>571</v>
      </c>
      <c r="B156" s="2">
        <v>45334</v>
      </c>
      <c r="C156" s="2">
        <v>45333</v>
      </c>
      <c r="D156" s="5">
        <f t="shared" si="16"/>
        <v>-1</v>
      </c>
      <c r="E156" t="s">
        <v>455</v>
      </c>
      <c r="F156" t="s">
        <v>114</v>
      </c>
      <c r="G156" t="s">
        <v>24</v>
      </c>
      <c r="H156" t="s">
        <v>54</v>
      </c>
      <c r="I156" t="s">
        <v>247</v>
      </c>
      <c r="J156" t="s">
        <v>248</v>
      </c>
      <c r="K156" t="s">
        <v>41</v>
      </c>
      <c r="L156" t="s">
        <v>158</v>
      </c>
      <c r="M156" t="s">
        <v>572</v>
      </c>
      <c r="N156" t="s">
        <v>44</v>
      </c>
      <c r="O156">
        <v>1</v>
      </c>
      <c r="P156">
        <v>2599.12</v>
      </c>
      <c r="Q156" s="6">
        <v>0.15</v>
      </c>
      <c r="R156">
        <v>2209.25</v>
      </c>
      <c r="S156">
        <v>1523.78</v>
      </c>
      <c r="T156">
        <v>685.47</v>
      </c>
      <c r="U156" t="s">
        <v>32</v>
      </c>
      <c r="V156" t="s">
        <v>33</v>
      </c>
      <c r="W156" s="8">
        <f t="shared" si="17"/>
        <v>0.15</v>
      </c>
      <c r="X156">
        <f t="shared" si="18"/>
        <v>2209.252</v>
      </c>
      <c r="Y156">
        <f t="shared" si="19"/>
        <v>685.47199999999998</v>
      </c>
      <c r="Z156" s="8">
        <f t="shared" si="20"/>
        <v>0.31027334138432372</v>
      </c>
      <c r="AA156" t="str">
        <f t="shared" si="21"/>
        <v>February</v>
      </c>
      <c r="AB156">
        <f t="shared" si="22"/>
        <v>2024</v>
      </c>
      <c r="AC156" t="str">
        <f t="shared" si="23"/>
        <v>Warning</v>
      </c>
    </row>
    <row r="157" spans="1:29">
      <c r="A157" t="s">
        <v>573</v>
      </c>
      <c r="B157" s="2">
        <v>45683</v>
      </c>
      <c r="C157" s="2">
        <v>45691</v>
      </c>
      <c r="D157" s="3">
        <f t="shared" si="16"/>
        <v>8</v>
      </c>
      <c r="E157" t="s">
        <v>574</v>
      </c>
      <c r="F157" t="s">
        <v>23</v>
      </c>
      <c r="G157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575</v>
      </c>
      <c r="N157" t="s">
        <v>44</v>
      </c>
      <c r="O157">
        <v>3</v>
      </c>
      <c r="P157">
        <v>2859.32</v>
      </c>
      <c r="Q157" s="6">
        <v>0.1</v>
      </c>
      <c r="R157">
        <v>7720.16</v>
      </c>
      <c r="S157">
        <v>5881</v>
      </c>
      <c r="T157">
        <v>1839.16</v>
      </c>
      <c r="U157" t="s">
        <v>102</v>
      </c>
      <c r="V157" t="s">
        <v>103</v>
      </c>
      <c r="W157" s="8">
        <f t="shared" si="17"/>
        <v>0.1</v>
      </c>
      <c r="X157">
        <f t="shared" si="18"/>
        <v>7720.1640000000007</v>
      </c>
      <c r="Y157">
        <f t="shared" si="19"/>
        <v>1839.1640000000007</v>
      </c>
      <c r="Z157" s="8">
        <f t="shared" si="20"/>
        <v>0.23822861794127695</v>
      </c>
      <c r="AA157" t="str">
        <f t="shared" si="21"/>
        <v>January</v>
      </c>
      <c r="AB157">
        <f t="shared" si="22"/>
        <v>2025</v>
      </c>
      <c r="AC157" t="str">
        <f t="shared" si="23"/>
        <v>Clean</v>
      </c>
    </row>
    <row r="158" spans="1:29">
      <c r="A158" t="s">
        <v>576</v>
      </c>
      <c r="B158" s="2">
        <v>45743</v>
      </c>
      <c r="C158" s="2">
        <v>45743</v>
      </c>
      <c r="D158" s="3">
        <f t="shared" si="16"/>
        <v>0</v>
      </c>
      <c r="E158" t="s">
        <v>577</v>
      </c>
      <c r="F158" t="s">
        <v>71</v>
      </c>
      <c r="G158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274</v>
      </c>
      <c r="M158" t="s">
        <v>578</v>
      </c>
      <c r="N158" t="s">
        <v>31</v>
      </c>
      <c r="O158">
        <v>7</v>
      </c>
      <c r="P158">
        <v>2305.37</v>
      </c>
      <c r="Q158" s="6">
        <v>0.25</v>
      </c>
      <c r="R158">
        <v>12103.19</v>
      </c>
      <c r="S158">
        <v>6717.87</v>
      </c>
      <c r="T158">
        <v>5385.32</v>
      </c>
      <c r="U158" t="s">
        <v>32</v>
      </c>
      <c r="V158" t="s">
        <v>33</v>
      </c>
      <c r="W158" s="8">
        <f t="shared" si="17"/>
        <v>0.25</v>
      </c>
      <c r="X158">
        <f t="shared" si="18"/>
        <v>12103.192500000001</v>
      </c>
      <c r="Y158">
        <f t="shared" si="19"/>
        <v>5385.3225000000011</v>
      </c>
      <c r="Z158" s="8">
        <f t="shared" si="20"/>
        <v>0.44495057812225997</v>
      </c>
      <c r="AA158" t="str">
        <f t="shared" si="21"/>
        <v>March</v>
      </c>
      <c r="AB158">
        <f t="shared" si="22"/>
        <v>2025</v>
      </c>
      <c r="AC158" t="str">
        <f t="shared" si="23"/>
        <v>Clean</v>
      </c>
    </row>
    <row r="159" spans="1:29">
      <c r="A159" t="s">
        <v>579</v>
      </c>
      <c r="B159" s="2">
        <v>45587</v>
      </c>
      <c r="C159" s="2">
        <v>45589</v>
      </c>
      <c r="D159" s="3">
        <f t="shared" si="16"/>
        <v>2</v>
      </c>
      <c r="E159" t="s">
        <v>580</v>
      </c>
      <c r="F159" t="s">
        <v>141</v>
      </c>
      <c r="G159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581</v>
      </c>
      <c r="N159" t="s">
        <v>59</v>
      </c>
      <c r="O159">
        <v>3</v>
      </c>
      <c r="P159">
        <v>915.84</v>
      </c>
      <c r="Q159" s="6">
        <v>0.15</v>
      </c>
      <c r="R159">
        <v>2335.39</v>
      </c>
      <c r="S159">
        <v>1466.15</v>
      </c>
      <c r="T159">
        <v>869.24</v>
      </c>
      <c r="U159" t="s">
        <v>32</v>
      </c>
      <c r="V159" t="s">
        <v>33</v>
      </c>
      <c r="W159" s="8">
        <f t="shared" si="17"/>
        <v>0.15</v>
      </c>
      <c r="X159">
        <f t="shared" si="18"/>
        <v>2335.3919999999998</v>
      </c>
      <c r="Y159">
        <f t="shared" si="19"/>
        <v>869.24199999999973</v>
      </c>
      <c r="Z159" s="8">
        <f t="shared" si="20"/>
        <v>0.3722038955344541</v>
      </c>
      <c r="AA159" t="str">
        <f t="shared" si="21"/>
        <v>October</v>
      </c>
      <c r="AB159">
        <f t="shared" si="22"/>
        <v>2024</v>
      </c>
      <c r="AC159" t="str">
        <f t="shared" si="23"/>
        <v>Clean</v>
      </c>
    </row>
    <row r="160" spans="1:29">
      <c r="A160" t="s">
        <v>582</v>
      </c>
      <c r="B160" s="2">
        <v>45544</v>
      </c>
      <c r="C160" s="2">
        <v>45546</v>
      </c>
      <c r="D160" s="3">
        <f t="shared" si="16"/>
        <v>2</v>
      </c>
      <c r="E160" t="s">
        <v>583</v>
      </c>
      <c r="F160" t="s">
        <v>79</v>
      </c>
      <c r="G160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584</v>
      </c>
      <c r="N160" t="s">
        <v>50</v>
      </c>
      <c r="O160">
        <v>1</v>
      </c>
      <c r="P160">
        <v>4199.54</v>
      </c>
      <c r="Q160" s="6">
        <v>0.05</v>
      </c>
      <c r="R160">
        <v>3989.56</v>
      </c>
      <c r="S160">
        <v>2381.38</v>
      </c>
      <c r="T160">
        <v>1608.18</v>
      </c>
      <c r="U160" t="s">
        <v>32</v>
      </c>
      <c r="V160" t="s">
        <v>33</v>
      </c>
      <c r="W160" s="8">
        <f t="shared" si="17"/>
        <v>0.05</v>
      </c>
      <c r="X160">
        <f t="shared" si="18"/>
        <v>3989.5629999999996</v>
      </c>
      <c r="Y160">
        <f t="shared" si="19"/>
        <v>1608.1829999999995</v>
      </c>
      <c r="Z160" s="8">
        <f t="shared" si="20"/>
        <v>0.40309753223598666</v>
      </c>
      <c r="AA160" t="str">
        <f t="shared" si="21"/>
        <v>September</v>
      </c>
      <c r="AB160">
        <f t="shared" si="22"/>
        <v>2024</v>
      </c>
      <c r="AC160" t="str">
        <f t="shared" si="23"/>
        <v>Clean</v>
      </c>
    </row>
    <row r="161" spans="1:29">
      <c r="A161" t="s">
        <v>585</v>
      </c>
      <c r="B161" s="2">
        <v>45687</v>
      </c>
      <c r="C161" s="2">
        <v>45749</v>
      </c>
      <c r="D161" s="3">
        <f t="shared" si="16"/>
        <v>62</v>
      </c>
      <c r="E161" t="s">
        <v>586</v>
      </c>
      <c r="F161" t="s">
        <v>114</v>
      </c>
      <c r="G161" t="s">
        <v>90</v>
      </c>
      <c r="H161" t="s">
        <v>25</v>
      </c>
      <c r="I161" t="s">
        <v>236</v>
      </c>
      <c r="J161" t="s">
        <v>237</v>
      </c>
      <c r="K161" t="s">
        <v>41</v>
      </c>
      <c r="L161" t="s">
        <v>66</v>
      </c>
      <c r="M161" t="s">
        <v>587</v>
      </c>
      <c r="N161" t="s">
        <v>44</v>
      </c>
      <c r="O161">
        <v>9</v>
      </c>
      <c r="P161">
        <v>4430.5</v>
      </c>
      <c r="Q161" s="6">
        <v>0.15</v>
      </c>
      <c r="R161">
        <v>33893.32</v>
      </c>
      <c r="S161">
        <v>25750.35</v>
      </c>
      <c r="T161">
        <v>8142.97</v>
      </c>
      <c r="U161" t="s">
        <v>111</v>
      </c>
      <c r="V161" t="s">
        <v>68</v>
      </c>
      <c r="W161" s="8">
        <f t="shared" si="17"/>
        <v>0.15</v>
      </c>
      <c r="X161">
        <f t="shared" si="18"/>
        <v>33893.324999999997</v>
      </c>
      <c r="Y161">
        <f t="shared" si="19"/>
        <v>8142.9749999999985</v>
      </c>
      <c r="Z161" s="8">
        <f t="shared" si="20"/>
        <v>0.24025305867748292</v>
      </c>
      <c r="AA161" t="str">
        <f t="shared" si="21"/>
        <v>January</v>
      </c>
      <c r="AB161">
        <f t="shared" si="22"/>
        <v>2025</v>
      </c>
      <c r="AC161" t="str">
        <f t="shared" si="23"/>
        <v>Clean</v>
      </c>
    </row>
    <row r="162" spans="1:29">
      <c r="A162" t="s">
        <v>588</v>
      </c>
      <c r="B162" s="2">
        <v>45879</v>
      </c>
      <c r="C162" s="2">
        <v>45936</v>
      </c>
      <c r="D162" s="3">
        <f t="shared" si="16"/>
        <v>57</v>
      </c>
      <c r="E162" t="s">
        <v>589</v>
      </c>
      <c r="F162" t="s">
        <v>71</v>
      </c>
      <c r="G162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590</v>
      </c>
      <c r="N162" t="s">
        <v>31</v>
      </c>
      <c r="O162">
        <v>4</v>
      </c>
      <c r="P162">
        <v>1260.42</v>
      </c>
      <c r="Q162" s="6">
        <v>0.05</v>
      </c>
      <c r="R162">
        <v>4789.6000000000004</v>
      </c>
      <c r="S162">
        <v>4037.64</v>
      </c>
      <c r="T162">
        <v>751.96</v>
      </c>
      <c r="U162" t="s">
        <v>111</v>
      </c>
      <c r="V162" t="s">
        <v>68</v>
      </c>
      <c r="W162" s="8">
        <f t="shared" si="17"/>
        <v>0.05</v>
      </c>
      <c r="X162">
        <f t="shared" si="18"/>
        <v>4789.5960000000005</v>
      </c>
      <c r="Y162">
        <f t="shared" si="19"/>
        <v>751.95600000000059</v>
      </c>
      <c r="Z162" s="8">
        <f t="shared" si="20"/>
        <v>0.1569977927157114</v>
      </c>
      <c r="AA162" t="str">
        <f t="shared" si="21"/>
        <v>August</v>
      </c>
      <c r="AB162">
        <f t="shared" si="22"/>
        <v>2025</v>
      </c>
      <c r="AC162" t="str">
        <f t="shared" si="23"/>
        <v>Clean</v>
      </c>
    </row>
    <row r="163" spans="1:29">
      <c r="A163" t="s">
        <v>591</v>
      </c>
      <c r="B163" s="2">
        <v>45862</v>
      </c>
      <c r="C163" s="2">
        <v>45868</v>
      </c>
      <c r="D163" s="3">
        <f t="shared" si="16"/>
        <v>6</v>
      </c>
      <c r="E163" t="s">
        <v>592</v>
      </c>
      <c r="F163" t="s">
        <v>53</v>
      </c>
      <c r="G163" t="s">
        <v>24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593</v>
      </c>
      <c r="N163" t="s">
        <v>59</v>
      </c>
      <c r="O163">
        <v>1</v>
      </c>
      <c r="P163">
        <v>1643.41</v>
      </c>
      <c r="Q163" s="7">
        <v>0</v>
      </c>
      <c r="R163">
        <v>1643.41</v>
      </c>
      <c r="S163">
        <v>907.4</v>
      </c>
      <c r="T163">
        <v>736.01</v>
      </c>
      <c r="U163" t="s">
        <v>111</v>
      </c>
      <c r="V163" t="s">
        <v>68</v>
      </c>
      <c r="W163" s="8">
        <f t="shared" si="17"/>
        <v>0</v>
      </c>
      <c r="X163">
        <f t="shared" si="18"/>
        <v>1643.41</v>
      </c>
      <c r="Y163">
        <f t="shared" si="19"/>
        <v>736.0100000000001</v>
      </c>
      <c r="Z163" s="8">
        <f t="shared" si="20"/>
        <v>0.44785537388722235</v>
      </c>
      <c r="AA163" t="str">
        <f t="shared" si="21"/>
        <v>July</v>
      </c>
      <c r="AB163">
        <f t="shared" si="22"/>
        <v>2025</v>
      </c>
      <c r="AC163" t="str">
        <f t="shared" si="23"/>
        <v>Clean</v>
      </c>
    </row>
    <row r="164" spans="1:29">
      <c r="A164" t="s">
        <v>594</v>
      </c>
      <c r="B164" s="2">
        <v>45360</v>
      </c>
      <c r="C164" s="2">
        <v>45365</v>
      </c>
      <c r="D164" s="3">
        <f t="shared" si="16"/>
        <v>5</v>
      </c>
      <c r="E164" t="s">
        <v>595</v>
      </c>
      <c r="F164" t="s">
        <v>79</v>
      </c>
      <c r="G164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596</v>
      </c>
      <c r="N164" t="s">
        <v>31</v>
      </c>
      <c r="O164">
        <v>8</v>
      </c>
      <c r="P164">
        <v>4472.84</v>
      </c>
      <c r="Q164" s="7">
        <v>0</v>
      </c>
      <c r="R164">
        <v>35997.620000000003</v>
      </c>
      <c r="S164">
        <v>26424.41</v>
      </c>
      <c r="T164">
        <v>9358.31</v>
      </c>
      <c r="U164" t="s">
        <v>111</v>
      </c>
      <c r="V164" t="s">
        <v>103</v>
      </c>
      <c r="W164" s="8">
        <f t="shared" si="17"/>
        <v>0</v>
      </c>
      <c r="X164">
        <f t="shared" si="18"/>
        <v>35782.720000000001</v>
      </c>
      <c r="Y164">
        <f t="shared" si="19"/>
        <v>9358.3100000000013</v>
      </c>
      <c r="Z164" s="8">
        <f t="shared" si="20"/>
        <v>0.2615315437171909</v>
      </c>
      <c r="AA164" t="str">
        <f t="shared" si="21"/>
        <v>March</v>
      </c>
      <c r="AB164">
        <f t="shared" si="22"/>
        <v>2024</v>
      </c>
      <c r="AC164" t="str">
        <f t="shared" si="23"/>
        <v>Clean</v>
      </c>
    </row>
    <row r="165" spans="1:29">
      <c r="A165" t="s">
        <v>597</v>
      </c>
      <c r="B165" s="2">
        <v>45921</v>
      </c>
      <c r="C165" s="2">
        <v>45926</v>
      </c>
      <c r="D165" s="3">
        <f t="shared" si="16"/>
        <v>5</v>
      </c>
      <c r="E165" t="s">
        <v>598</v>
      </c>
      <c r="F165" t="s">
        <v>141</v>
      </c>
      <c r="G16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599</v>
      </c>
      <c r="N165" s="4" t="s">
        <v>2760</v>
      </c>
      <c r="O165">
        <v>6</v>
      </c>
      <c r="P165">
        <v>2903.58</v>
      </c>
      <c r="Q165" s="6">
        <v>0.1</v>
      </c>
      <c r="R165">
        <v>15679.33</v>
      </c>
      <c r="S165">
        <v>12477.82</v>
      </c>
      <c r="T165">
        <v>3201.51</v>
      </c>
      <c r="U165" t="s">
        <v>111</v>
      </c>
      <c r="V165" t="s">
        <v>103</v>
      </c>
      <c r="W165" s="8">
        <f t="shared" si="17"/>
        <v>0.1</v>
      </c>
      <c r="X165">
        <f t="shared" si="18"/>
        <v>15679.332</v>
      </c>
      <c r="Y165">
        <f t="shared" si="19"/>
        <v>3201.5120000000006</v>
      </c>
      <c r="Z165" s="8">
        <f t="shared" si="20"/>
        <v>0.20418675999717339</v>
      </c>
      <c r="AA165" t="str">
        <f t="shared" si="21"/>
        <v>September</v>
      </c>
      <c r="AB165">
        <f t="shared" si="22"/>
        <v>2025</v>
      </c>
      <c r="AC165" t="str">
        <f t="shared" si="23"/>
        <v>Clean</v>
      </c>
    </row>
    <row r="166" spans="1:29">
      <c r="A166" t="s">
        <v>600</v>
      </c>
      <c r="B166" s="2">
        <v>45909</v>
      </c>
      <c r="C166" s="2">
        <v>45914</v>
      </c>
      <c r="D166" s="3">
        <f t="shared" si="16"/>
        <v>5</v>
      </c>
      <c r="E166" t="s">
        <v>601</v>
      </c>
      <c r="F166" t="s">
        <v>118</v>
      </c>
      <c r="G166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602</v>
      </c>
      <c r="N166" t="s">
        <v>31</v>
      </c>
      <c r="O166">
        <v>1</v>
      </c>
      <c r="P166">
        <v>3154.42</v>
      </c>
      <c r="Q166" s="6">
        <v>0.25</v>
      </c>
      <c r="R166">
        <v>2365.8200000000002</v>
      </c>
      <c r="S166">
        <v>1547.99</v>
      </c>
      <c r="T166">
        <v>817.83</v>
      </c>
      <c r="U166" t="s">
        <v>32</v>
      </c>
      <c r="V166" t="s">
        <v>33</v>
      </c>
      <c r="W166" s="8">
        <f t="shared" si="17"/>
        <v>0.25</v>
      </c>
      <c r="X166">
        <f t="shared" si="18"/>
        <v>2365.8150000000001</v>
      </c>
      <c r="Y166">
        <f t="shared" si="19"/>
        <v>817.82500000000005</v>
      </c>
      <c r="Z166" s="8">
        <f t="shared" si="20"/>
        <v>0.34568425679945392</v>
      </c>
      <c r="AA166" t="str">
        <f t="shared" si="21"/>
        <v>September</v>
      </c>
      <c r="AB166">
        <f t="shared" si="22"/>
        <v>2025</v>
      </c>
      <c r="AC166" t="str">
        <f t="shared" si="23"/>
        <v>Clean</v>
      </c>
    </row>
    <row r="167" spans="1:29">
      <c r="A167" t="s">
        <v>603</v>
      </c>
      <c r="B167" s="2">
        <v>45618</v>
      </c>
      <c r="C167" s="2">
        <v>45625</v>
      </c>
      <c r="D167" s="3">
        <f t="shared" si="16"/>
        <v>7</v>
      </c>
      <c r="E167" t="s">
        <v>604</v>
      </c>
      <c r="F167" t="s">
        <v>36</v>
      </c>
      <c r="G167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605</v>
      </c>
      <c r="N167" t="s">
        <v>59</v>
      </c>
      <c r="O167">
        <v>4</v>
      </c>
      <c r="P167">
        <v>3422.99</v>
      </c>
      <c r="Q167" s="6">
        <v>0.25</v>
      </c>
      <c r="R167">
        <v>10268.969999999999</v>
      </c>
      <c r="S167">
        <v>6470.92</v>
      </c>
      <c r="T167">
        <v>3798.05</v>
      </c>
      <c r="U167" t="s">
        <v>32</v>
      </c>
      <c r="V167" t="s">
        <v>33</v>
      </c>
      <c r="W167" s="8">
        <f t="shared" si="17"/>
        <v>0.25</v>
      </c>
      <c r="X167">
        <f t="shared" si="18"/>
        <v>10268.969999999999</v>
      </c>
      <c r="Y167">
        <f t="shared" si="19"/>
        <v>3798.0499999999993</v>
      </c>
      <c r="Z167" s="8">
        <f t="shared" si="20"/>
        <v>0.36985695741637181</v>
      </c>
      <c r="AA167" t="str">
        <f t="shared" si="21"/>
        <v>November</v>
      </c>
      <c r="AB167">
        <f t="shared" si="22"/>
        <v>2024</v>
      </c>
      <c r="AC167" t="str">
        <f t="shared" si="23"/>
        <v>Clean</v>
      </c>
    </row>
    <row r="168" spans="1:29">
      <c r="A168" t="s">
        <v>606</v>
      </c>
      <c r="B168" s="2">
        <v>45708</v>
      </c>
      <c r="C168" s="2">
        <v>45714</v>
      </c>
      <c r="D168" s="3">
        <f t="shared" si="16"/>
        <v>6</v>
      </c>
      <c r="E168" t="s">
        <v>607</v>
      </c>
      <c r="F168" t="s">
        <v>23</v>
      </c>
      <c r="G168" t="s">
        <v>37</v>
      </c>
      <c r="H168" t="s">
        <v>63</v>
      </c>
      <c r="I168" t="s">
        <v>180</v>
      </c>
      <c r="J168" t="s">
        <v>181</v>
      </c>
      <c r="K168" t="s">
        <v>28</v>
      </c>
      <c r="L168" t="s">
        <v>91</v>
      </c>
      <c r="M168" t="s">
        <v>608</v>
      </c>
      <c r="N168" t="s">
        <v>50</v>
      </c>
      <c r="O168">
        <v>1</v>
      </c>
      <c r="P168">
        <v>2557.85</v>
      </c>
      <c r="Q168" s="6">
        <v>0.2</v>
      </c>
      <c r="R168">
        <v>2046.28</v>
      </c>
      <c r="S168">
        <v>1449.54</v>
      </c>
      <c r="T168">
        <v>596.74</v>
      </c>
      <c r="U168" t="s">
        <v>32</v>
      </c>
      <c r="V168" t="s">
        <v>33</v>
      </c>
      <c r="W168" s="8">
        <f t="shared" si="17"/>
        <v>0.2</v>
      </c>
      <c r="X168">
        <f t="shared" si="18"/>
        <v>2046.28</v>
      </c>
      <c r="Y168">
        <f t="shared" si="19"/>
        <v>596.74</v>
      </c>
      <c r="Z168" s="8">
        <f t="shared" si="20"/>
        <v>0.29162186992982386</v>
      </c>
      <c r="AA168" t="str">
        <f t="shared" si="21"/>
        <v>February</v>
      </c>
      <c r="AB168">
        <f t="shared" si="22"/>
        <v>2025</v>
      </c>
      <c r="AC168" t="str">
        <f t="shared" si="23"/>
        <v>Clean</v>
      </c>
    </row>
    <row r="169" spans="1:29">
      <c r="A169" t="s">
        <v>609</v>
      </c>
      <c r="B169" s="2">
        <v>45887</v>
      </c>
      <c r="C169" s="2">
        <v>45887</v>
      </c>
      <c r="D169" s="3">
        <f t="shared" si="16"/>
        <v>0</v>
      </c>
      <c r="E169" t="s">
        <v>610</v>
      </c>
      <c r="F169" t="s">
        <v>53</v>
      </c>
      <c r="G169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611</v>
      </c>
      <c r="N169" t="s">
        <v>50</v>
      </c>
      <c r="O169">
        <v>9</v>
      </c>
      <c r="P169">
        <v>3030.93</v>
      </c>
      <c r="Q169" s="6">
        <v>0.15</v>
      </c>
      <c r="R169">
        <v>23186.61</v>
      </c>
      <c r="S169">
        <v>17906.54</v>
      </c>
      <c r="T169">
        <v>5280.07</v>
      </c>
      <c r="U169" t="s">
        <v>32</v>
      </c>
      <c r="V169" t="s">
        <v>103</v>
      </c>
      <c r="W169" s="8">
        <f t="shared" si="17"/>
        <v>0.15</v>
      </c>
      <c r="X169">
        <f t="shared" si="18"/>
        <v>23186.6145</v>
      </c>
      <c r="Y169">
        <f t="shared" si="19"/>
        <v>5280.0744999999988</v>
      </c>
      <c r="Z169" s="8">
        <f t="shared" si="20"/>
        <v>0.22772080417345961</v>
      </c>
      <c r="AA169" t="str">
        <f t="shared" si="21"/>
        <v>August</v>
      </c>
      <c r="AB169">
        <f t="shared" si="22"/>
        <v>2025</v>
      </c>
      <c r="AC169" t="str">
        <f t="shared" si="23"/>
        <v>Clean</v>
      </c>
    </row>
    <row r="170" spans="1:29">
      <c r="A170" t="s">
        <v>612</v>
      </c>
      <c r="B170" s="2">
        <v>45677</v>
      </c>
      <c r="C170" s="2">
        <v>45680</v>
      </c>
      <c r="D170" s="3">
        <f t="shared" si="16"/>
        <v>3</v>
      </c>
      <c r="E170" t="s">
        <v>613</v>
      </c>
      <c r="F170" t="s">
        <v>264</v>
      </c>
      <c r="G170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614</v>
      </c>
      <c r="N170" t="s">
        <v>44</v>
      </c>
      <c r="O170">
        <v>5</v>
      </c>
      <c r="P170">
        <v>639.27</v>
      </c>
      <c r="Q170" s="6">
        <v>0.2</v>
      </c>
      <c r="R170">
        <v>2557.08</v>
      </c>
      <c r="S170">
        <v>2025.69</v>
      </c>
      <c r="T170">
        <v>531.39</v>
      </c>
      <c r="U170" t="s">
        <v>32</v>
      </c>
      <c r="V170" t="s">
        <v>68</v>
      </c>
      <c r="W170" s="8">
        <f t="shared" si="17"/>
        <v>0.2</v>
      </c>
      <c r="X170">
        <f t="shared" si="18"/>
        <v>2557.08</v>
      </c>
      <c r="Y170">
        <f t="shared" si="19"/>
        <v>531.38999999999987</v>
      </c>
      <c r="Z170" s="8">
        <f t="shared" si="20"/>
        <v>0.2078112534609789</v>
      </c>
      <c r="AA170" t="str">
        <f t="shared" si="21"/>
        <v>January</v>
      </c>
      <c r="AB170">
        <f t="shared" si="22"/>
        <v>2025</v>
      </c>
      <c r="AC170" t="str">
        <f t="shared" si="23"/>
        <v>Clean</v>
      </c>
    </row>
    <row r="171" spans="1:29">
      <c r="A171" t="s">
        <v>615</v>
      </c>
      <c r="B171" s="2">
        <v>45913</v>
      </c>
      <c r="C171" s="2">
        <v>45913</v>
      </c>
      <c r="D171" s="3">
        <f t="shared" si="16"/>
        <v>0</v>
      </c>
      <c r="E171" t="s">
        <v>616</v>
      </c>
      <c r="F171" t="s">
        <v>162</v>
      </c>
      <c r="G171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617</v>
      </c>
      <c r="N171" t="s">
        <v>59</v>
      </c>
      <c r="O171">
        <v>8</v>
      </c>
      <c r="P171">
        <v>733.9</v>
      </c>
      <c r="Q171" s="6">
        <v>0.05</v>
      </c>
      <c r="R171">
        <v>5577.64</v>
      </c>
      <c r="S171">
        <v>3541.29</v>
      </c>
      <c r="T171">
        <v>2036.35</v>
      </c>
      <c r="U171" t="s">
        <v>111</v>
      </c>
      <c r="V171" t="s">
        <v>103</v>
      </c>
      <c r="W171" s="8">
        <f t="shared" si="17"/>
        <v>0.05</v>
      </c>
      <c r="X171">
        <f t="shared" si="18"/>
        <v>5577.6399999999994</v>
      </c>
      <c r="Y171">
        <f t="shared" si="19"/>
        <v>2036.3499999999995</v>
      </c>
      <c r="Z171" s="8">
        <f t="shared" si="20"/>
        <v>0.36509168752375548</v>
      </c>
      <c r="AA171" t="str">
        <f t="shared" si="21"/>
        <v>September</v>
      </c>
      <c r="AB171">
        <f t="shared" si="22"/>
        <v>2025</v>
      </c>
      <c r="AC171" t="str">
        <f t="shared" si="23"/>
        <v>Clean</v>
      </c>
    </row>
    <row r="172" spans="1:29">
      <c r="A172" s="4" t="s">
        <v>618</v>
      </c>
      <c r="B172" s="2">
        <v>45847</v>
      </c>
      <c r="C172" s="2">
        <v>45915</v>
      </c>
      <c r="D172" s="3">
        <f t="shared" si="16"/>
        <v>68</v>
      </c>
      <c r="E172" t="s">
        <v>619</v>
      </c>
      <c r="F172" t="s">
        <v>141</v>
      </c>
      <c r="G172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620</v>
      </c>
      <c r="N172" t="s">
        <v>59</v>
      </c>
      <c r="O172">
        <v>3</v>
      </c>
      <c r="P172">
        <v>1711.32</v>
      </c>
      <c r="Q172" s="7">
        <v>0</v>
      </c>
      <c r="R172">
        <v>5133.96</v>
      </c>
      <c r="S172">
        <v>3930</v>
      </c>
      <c r="T172">
        <v>1203.96</v>
      </c>
      <c r="U172" t="s">
        <v>32</v>
      </c>
      <c r="V172" t="s">
        <v>33</v>
      </c>
      <c r="W172" s="8">
        <f t="shared" si="17"/>
        <v>0</v>
      </c>
      <c r="X172">
        <f t="shared" si="18"/>
        <v>5133.96</v>
      </c>
      <c r="Y172">
        <f t="shared" si="19"/>
        <v>1203.96</v>
      </c>
      <c r="Z172" s="8">
        <f t="shared" si="20"/>
        <v>0.23450903396208775</v>
      </c>
      <c r="AA172" t="str">
        <f t="shared" si="21"/>
        <v>July</v>
      </c>
      <c r="AB172">
        <f t="shared" si="22"/>
        <v>2025</v>
      </c>
      <c r="AC172" t="str">
        <f t="shared" si="23"/>
        <v>Clean</v>
      </c>
    </row>
    <row r="173" spans="1:29">
      <c r="A173" t="s">
        <v>621</v>
      </c>
      <c r="B173" s="2">
        <v>45711</v>
      </c>
      <c r="C173" s="2">
        <v>45713</v>
      </c>
      <c r="D173" s="3">
        <f t="shared" si="16"/>
        <v>2</v>
      </c>
      <c r="E173" t="s">
        <v>622</v>
      </c>
      <c r="F173" t="s">
        <v>23</v>
      </c>
      <c r="G173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623</v>
      </c>
      <c r="N173" t="s">
        <v>44</v>
      </c>
      <c r="O173">
        <v>5</v>
      </c>
      <c r="P173">
        <v>4246.2700000000004</v>
      </c>
      <c r="Q173" s="6">
        <v>0.25</v>
      </c>
      <c r="R173">
        <v>15923.51</v>
      </c>
      <c r="S173">
        <v>11291.8</v>
      </c>
      <c r="T173">
        <v>4631.71</v>
      </c>
      <c r="U173" t="s">
        <v>32</v>
      </c>
      <c r="V173" t="s">
        <v>33</v>
      </c>
      <c r="W173" s="8">
        <f t="shared" si="17"/>
        <v>0.25</v>
      </c>
      <c r="X173">
        <f t="shared" si="18"/>
        <v>15923.512500000001</v>
      </c>
      <c r="Y173">
        <f t="shared" si="19"/>
        <v>4631.7125000000015</v>
      </c>
      <c r="Z173" s="8">
        <f t="shared" si="20"/>
        <v>0.29087253832971849</v>
      </c>
      <c r="AA173" t="str">
        <f t="shared" si="21"/>
        <v>February</v>
      </c>
      <c r="AB173">
        <f t="shared" si="22"/>
        <v>2025</v>
      </c>
      <c r="AC173" t="str">
        <f t="shared" si="23"/>
        <v>Clean</v>
      </c>
    </row>
    <row r="174" spans="1:29">
      <c r="A174" t="s">
        <v>624</v>
      </c>
      <c r="B174" s="2">
        <v>45696</v>
      </c>
      <c r="C174" s="2">
        <v>45938</v>
      </c>
      <c r="D174" s="3">
        <f t="shared" si="16"/>
        <v>242</v>
      </c>
      <c r="E174" t="s">
        <v>625</v>
      </c>
      <c r="F174" t="s">
        <v>23</v>
      </c>
      <c r="G174" t="s">
        <v>90</v>
      </c>
      <c r="H174" t="s">
        <v>25</v>
      </c>
      <c r="I174" t="s">
        <v>350</v>
      </c>
      <c r="J174" t="s">
        <v>351</v>
      </c>
      <c r="K174" t="s">
        <v>41</v>
      </c>
      <c r="L174" t="s">
        <v>57</v>
      </c>
      <c r="M174" t="s">
        <v>626</v>
      </c>
      <c r="N174" t="s">
        <v>44</v>
      </c>
      <c r="O174">
        <v>9</v>
      </c>
      <c r="P174">
        <v>2962.62</v>
      </c>
      <c r="Q174" s="6">
        <v>0.1</v>
      </c>
      <c r="R174">
        <v>23997.22</v>
      </c>
      <c r="S174">
        <v>16134.63</v>
      </c>
      <c r="T174">
        <v>7862.59</v>
      </c>
      <c r="U174" t="s">
        <v>102</v>
      </c>
      <c r="V174" t="s">
        <v>103</v>
      </c>
      <c r="W174" s="8">
        <f t="shared" si="17"/>
        <v>0.1</v>
      </c>
      <c r="X174">
        <f t="shared" si="18"/>
        <v>23997.221999999998</v>
      </c>
      <c r="Y174">
        <f t="shared" si="19"/>
        <v>7862.5919999999987</v>
      </c>
      <c r="Z174" s="8">
        <f t="shared" si="20"/>
        <v>0.32764592501582057</v>
      </c>
      <c r="AA174" t="str">
        <f t="shared" si="21"/>
        <v>February</v>
      </c>
      <c r="AB174">
        <f t="shared" si="22"/>
        <v>2025</v>
      </c>
      <c r="AC174" t="str">
        <f t="shared" si="23"/>
        <v>Clean</v>
      </c>
    </row>
    <row r="175" spans="1:29">
      <c r="A175" t="s">
        <v>627</v>
      </c>
      <c r="B175" s="2">
        <v>45327</v>
      </c>
      <c r="C175" s="2">
        <v>45420</v>
      </c>
      <c r="D175" s="3">
        <f t="shared" si="16"/>
        <v>93</v>
      </c>
      <c r="E175" t="s">
        <v>628</v>
      </c>
      <c r="F175" t="s">
        <v>114</v>
      </c>
      <c r="G17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629</v>
      </c>
      <c r="N175" t="s">
        <v>31</v>
      </c>
      <c r="O175">
        <v>1</v>
      </c>
      <c r="P175">
        <v>2312.25</v>
      </c>
      <c r="Q175" s="6">
        <v>0.25</v>
      </c>
      <c r="R175">
        <v>1734.19</v>
      </c>
      <c r="S175">
        <v>1386.07</v>
      </c>
      <c r="T175">
        <v>348.12</v>
      </c>
      <c r="U175" t="s">
        <v>32</v>
      </c>
      <c r="V175" t="s">
        <v>33</v>
      </c>
      <c r="W175" s="8">
        <f t="shared" si="17"/>
        <v>0.25</v>
      </c>
      <c r="X175">
        <f t="shared" si="18"/>
        <v>1734.1875</v>
      </c>
      <c r="Y175">
        <f t="shared" si="19"/>
        <v>348.11750000000006</v>
      </c>
      <c r="Z175" s="8">
        <f t="shared" si="20"/>
        <v>0.20073809781237614</v>
      </c>
      <c r="AA175" t="str">
        <f t="shared" si="21"/>
        <v>February</v>
      </c>
      <c r="AB175">
        <f t="shared" si="22"/>
        <v>2024</v>
      </c>
      <c r="AC175" t="str">
        <f t="shared" si="23"/>
        <v>Clean</v>
      </c>
    </row>
    <row r="176" spans="1:29">
      <c r="A176" t="s">
        <v>630</v>
      </c>
      <c r="B176" s="2">
        <v>45928</v>
      </c>
      <c r="C176" s="2">
        <v>45757</v>
      </c>
      <c r="D176" s="5">
        <f t="shared" si="16"/>
        <v>-171</v>
      </c>
      <c r="E176" t="s">
        <v>631</v>
      </c>
      <c r="F176" t="s">
        <v>23</v>
      </c>
      <c r="G176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632</v>
      </c>
      <c r="N176" t="s">
        <v>50</v>
      </c>
      <c r="O176">
        <v>6</v>
      </c>
      <c r="P176">
        <v>1620.53</v>
      </c>
      <c r="Q176" s="6">
        <v>0.15</v>
      </c>
      <c r="R176">
        <v>8264.7000000000007</v>
      </c>
      <c r="S176">
        <v>4768.75</v>
      </c>
      <c r="T176">
        <v>3495.95</v>
      </c>
      <c r="U176" t="s">
        <v>111</v>
      </c>
      <c r="V176" t="s">
        <v>103</v>
      </c>
      <c r="W176" s="8">
        <f t="shared" si="17"/>
        <v>0.15</v>
      </c>
      <c r="X176">
        <f t="shared" si="18"/>
        <v>8264.7029999999995</v>
      </c>
      <c r="Y176">
        <f t="shared" si="19"/>
        <v>3495.9529999999995</v>
      </c>
      <c r="Z176" s="8">
        <f t="shared" si="20"/>
        <v>0.42299801940856191</v>
      </c>
      <c r="AA176" t="str">
        <f t="shared" si="21"/>
        <v>September</v>
      </c>
      <c r="AB176">
        <f t="shared" si="22"/>
        <v>2025</v>
      </c>
      <c r="AC176" t="str">
        <f t="shared" si="23"/>
        <v>Warning</v>
      </c>
    </row>
    <row r="177" spans="1:29">
      <c r="A177" t="s">
        <v>633</v>
      </c>
      <c r="B177" s="2">
        <v>45318</v>
      </c>
      <c r="C177" s="2">
        <v>45325</v>
      </c>
      <c r="D177" s="3">
        <f t="shared" si="16"/>
        <v>7</v>
      </c>
      <c r="E177" t="s">
        <v>634</v>
      </c>
      <c r="F177" t="s">
        <v>53</v>
      </c>
      <c r="G177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274</v>
      </c>
      <c r="M177" t="s">
        <v>635</v>
      </c>
      <c r="N177" t="s">
        <v>44</v>
      </c>
      <c r="O177">
        <v>7</v>
      </c>
      <c r="P177">
        <v>2673.42</v>
      </c>
      <c r="Q177" s="6">
        <v>0.15</v>
      </c>
      <c r="R177">
        <v>15906.85</v>
      </c>
      <c r="S177">
        <v>11014.46</v>
      </c>
      <c r="T177">
        <v>4892.3900000000003</v>
      </c>
      <c r="U177" t="s">
        <v>32</v>
      </c>
      <c r="V177" t="s">
        <v>103</v>
      </c>
      <c r="W177" s="8">
        <f t="shared" si="17"/>
        <v>0.15</v>
      </c>
      <c r="X177">
        <f t="shared" si="18"/>
        <v>15906.849000000002</v>
      </c>
      <c r="Y177">
        <f t="shared" si="19"/>
        <v>4892.3890000000029</v>
      </c>
      <c r="Z177" s="8">
        <f t="shared" si="20"/>
        <v>0.30756493633654297</v>
      </c>
      <c r="AA177" t="str">
        <f t="shared" si="21"/>
        <v>January</v>
      </c>
      <c r="AB177">
        <f t="shared" si="22"/>
        <v>2024</v>
      </c>
      <c r="AC177" t="str">
        <f t="shared" si="23"/>
        <v>Clean</v>
      </c>
    </row>
    <row r="178" spans="1:29">
      <c r="A178" t="s">
        <v>636</v>
      </c>
      <c r="B178" s="2">
        <v>45734</v>
      </c>
      <c r="C178" s="2">
        <v>45742</v>
      </c>
      <c r="D178" s="3">
        <f t="shared" si="16"/>
        <v>8</v>
      </c>
      <c r="E178" t="s">
        <v>637</v>
      </c>
      <c r="F178" t="s">
        <v>71</v>
      </c>
      <c r="G178" t="s">
        <v>90</v>
      </c>
      <c r="H178" t="s">
        <v>38</v>
      </c>
      <c r="I178" t="s">
        <v>228</v>
      </c>
      <c r="J178" t="s">
        <v>229</v>
      </c>
      <c r="K178" t="s">
        <v>41</v>
      </c>
      <c r="L178" t="s">
        <v>158</v>
      </c>
      <c r="M178" t="s">
        <v>638</v>
      </c>
      <c r="N178" t="s">
        <v>59</v>
      </c>
      <c r="O178">
        <v>8</v>
      </c>
      <c r="P178">
        <v>3563.09</v>
      </c>
      <c r="Q178" s="6">
        <v>0.15</v>
      </c>
      <c r="R178">
        <v>24229.01</v>
      </c>
      <c r="S178">
        <v>13910.64</v>
      </c>
      <c r="T178">
        <v>10318.370000000001</v>
      </c>
      <c r="U178" t="s">
        <v>32</v>
      </c>
      <c r="V178" t="s">
        <v>33</v>
      </c>
      <c r="W178" s="8">
        <f t="shared" si="17"/>
        <v>0.15</v>
      </c>
      <c r="X178">
        <f t="shared" si="18"/>
        <v>24229.011999999999</v>
      </c>
      <c r="Y178">
        <f t="shared" si="19"/>
        <v>10318.371999999999</v>
      </c>
      <c r="Z178" s="8">
        <f t="shared" si="20"/>
        <v>0.42586845885420338</v>
      </c>
      <c r="AA178" t="str">
        <f t="shared" si="21"/>
        <v>March</v>
      </c>
      <c r="AB178">
        <f t="shared" si="22"/>
        <v>2025</v>
      </c>
      <c r="AC178" t="str">
        <f t="shared" si="23"/>
        <v>Clean</v>
      </c>
    </row>
    <row r="179" spans="1:29">
      <c r="A179" t="s">
        <v>639</v>
      </c>
      <c r="B179" s="2">
        <v>45297</v>
      </c>
      <c r="C179" s="2">
        <v>45446</v>
      </c>
      <c r="D179" s="3">
        <f t="shared" si="16"/>
        <v>149</v>
      </c>
      <c r="E179" t="s">
        <v>640</v>
      </c>
      <c r="F179" t="s">
        <v>132</v>
      </c>
      <c r="G179" t="s">
        <v>95</v>
      </c>
      <c r="H179" s="4" t="s">
        <v>2760</v>
      </c>
      <c r="I179" t="s">
        <v>145</v>
      </c>
      <c r="J179" t="s">
        <v>146</v>
      </c>
      <c r="K179" t="s">
        <v>28</v>
      </c>
      <c r="L179" t="s">
        <v>48</v>
      </c>
      <c r="M179" t="s">
        <v>641</v>
      </c>
      <c r="N179" t="s">
        <v>44</v>
      </c>
      <c r="O179">
        <v>8</v>
      </c>
      <c r="P179">
        <v>3879.95</v>
      </c>
      <c r="Q179" s="7">
        <v>0</v>
      </c>
      <c r="R179">
        <v>31039.599999999999</v>
      </c>
      <c r="S179">
        <v>20866.72</v>
      </c>
      <c r="T179">
        <v>10172.879999999999</v>
      </c>
      <c r="U179" t="s">
        <v>32</v>
      </c>
      <c r="V179" t="s">
        <v>33</v>
      </c>
      <c r="W179" s="8">
        <f t="shared" si="17"/>
        <v>0</v>
      </c>
      <c r="X179">
        <f t="shared" si="18"/>
        <v>31039.599999999999</v>
      </c>
      <c r="Y179">
        <f t="shared" si="19"/>
        <v>10172.879999999997</v>
      </c>
      <c r="Z179" s="8">
        <f t="shared" si="20"/>
        <v>0.32773875952009685</v>
      </c>
      <c r="AA179" t="str">
        <f t="shared" si="21"/>
        <v>January</v>
      </c>
      <c r="AB179">
        <f t="shared" si="22"/>
        <v>2024</v>
      </c>
      <c r="AC179" t="str">
        <f t="shared" si="23"/>
        <v>Clean</v>
      </c>
    </row>
    <row r="180" spans="1:29">
      <c r="A180" t="s">
        <v>642</v>
      </c>
      <c r="B180" s="2">
        <v>45565</v>
      </c>
      <c r="C180" s="2">
        <v>45565</v>
      </c>
      <c r="D180" s="3">
        <f t="shared" si="16"/>
        <v>0</v>
      </c>
      <c r="E180" t="s">
        <v>643</v>
      </c>
      <c r="F180" t="s">
        <v>47</v>
      </c>
      <c r="G180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644</v>
      </c>
      <c r="N180" t="s">
        <v>59</v>
      </c>
      <c r="O180">
        <v>4</v>
      </c>
      <c r="P180">
        <v>3281.74</v>
      </c>
      <c r="Q180" s="7">
        <v>0</v>
      </c>
      <c r="R180">
        <v>13126.96</v>
      </c>
      <c r="S180">
        <v>10732.44</v>
      </c>
      <c r="T180">
        <v>2394.52</v>
      </c>
      <c r="U180" t="s">
        <v>32</v>
      </c>
      <c r="V180" t="s">
        <v>33</v>
      </c>
      <c r="W180" s="8">
        <f t="shared" si="17"/>
        <v>0</v>
      </c>
      <c r="X180">
        <f t="shared" si="18"/>
        <v>13126.96</v>
      </c>
      <c r="Y180">
        <f t="shared" si="19"/>
        <v>2394.5199999999986</v>
      </c>
      <c r="Z180" s="8">
        <f t="shared" si="20"/>
        <v>0.18241237879905162</v>
      </c>
      <c r="AA180" t="str">
        <f t="shared" si="21"/>
        <v>September</v>
      </c>
      <c r="AB180">
        <f t="shared" si="22"/>
        <v>2024</v>
      </c>
      <c r="AC180" t="str">
        <f t="shared" si="23"/>
        <v>Clean</v>
      </c>
    </row>
    <row r="181" spans="1:29">
      <c r="A181" t="s">
        <v>645</v>
      </c>
      <c r="B181" s="2">
        <v>45366</v>
      </c>
      <c r="C181" s="2">
        <v>45370</v>
      </c>
      <c r="D181" s="3">
        <f t="shared" si="16"/>
        <v>4</v>
      </c>
      <c r="E181" t="s">
        <v>646</v>
      </c>
      <c r="F181" t="s">
        <v>62</v>
      </c>
      <c r="G181" t="s">
        <v>37</v>
      </c>
      <c r="H181" t="s">
        <v>54</v>
      </c>
      <c r="I181" t="s">
        <v>247</v>
      </c>
      <c r="J181" t="s">
        <v>248</v>
      </c>
      <c r="K181" t="s">
        <v>41</v>
      </c>
      <c r="L181" t="s">
        <v>57</v>
      </c>
      <c r="M181" t="s">
        <v>647</v>
      </c>
      <c r="N181" t="s">
        <v>59</v>
      </c>
      <c r="O181">
        <v>4</v>
      </c>
      <c r="P181">
        <v>3186.3</v>
      </c>
      <c r="Q181" s="6">
        <v>0.25</v>
      </c>
      <c r="R181">
        <v>9558.9</v>
      </c>
      <c r="S181">
        <v>5516.76</v>
      </c>
      <c r="T181">
        <v>4042.14</v>
      </c>
      <c r="U181" t="s">
        <v>102</v>
      </c>
      <c r="V181" t="s">
        <v>103</v>
      </c>
      <c r="W181" s="8">
        <f t="shared" si="17"/>
        <v>0.25</v>
      </c>
      <c r="X181">
        <f t="shared" si="18"/>
        <v>9558.9000000000015</v>
      </c>
      <c r="Y181">
        <f t="shared" si="19"/>
        <v>4042.1400000000012</v>
      </c>
      <c r="Z181" s="8">
        <f t="shared" si="20"/>
        <v>0.42286664783604816</v>
      </c>
      <c r="AA181" t="str">
        <f t="shared" si="21"/>
        <v>March</v>
      </c>
      <c r="AB181">
        <f t="shared" si="22"/>
        <v>2024</v>
      </c>
      <c r="AC181" t="str">
        <f t="shared" si="23"/>
        <v>Clean</v>
      </c>
    </row>
    <row r="182" spans="1:29">
      <c r="A182" t="s">
        <v>648</v>
      </c>
      <c r="B182" s="2">
        <v>45530</v>
      </c>
      <c r="C182" s="2">
        <v>45530</v>
      </c>
      <c r="D182" s="3">
        <f t="shared" si="16"/>
        <v>0</v>
      </c>
      <c r="E182" t="s">
        <v>649</v>
      </c>
      <c r="F182" t="s">
        <v>36</v>
      </c>
      <c r="G182" t="s">
        <v>95</v>
      </c>
      <c r="H182" t="s">
        <v>25</v>
      </c>
      <c r="I182" t="s">
        <v>136</v>
      </c>
      <c r="J182" t="s">
        <v>137</v>
      </c>
      <c r="K182" t="s">
        <v>28</v>
      </c>
      <c r="L182" t="s">
        <v>153</v>
      </c>
      <c r="M182" t="s">
        <v>650</v>
      </c>
      <c r="N182" t="s">
        <v>50</v>
      </c>
      <c r="O182">
        <v>7</v>
      </c>
      <c r="P182">
        <v>844.59</v>
      </c>
      <c r="Q182" s="6">
        <v>0.1</v>
      </c>
      <c r="R182">
        <v>5320.92</v>
      </c>
      <c r="S182">
        <v>3041.5</v>
      </c>
      <c r="T182">
        <v>2279.42</v>
      </c>
      <c r="U182" t="s">
        <v>32</v>
      </c>
      <c r="V182" t="s">
        <v>33</v>
      </c>
      <c r="W182" s="8">
        <f t="shared" si="17"/>
        <v>0.1</v>
      </c>
      <c r="X182">
        <f t="shared" si="18"/>
        <v>5320.9170000000004</v>
      </c>
      <c r="Y182">
        <f t="shared" si="19"/>
        <v>2279.4170000000004</v>
      </c>
      <c r="Z182" s="8">
        <f t="shared" si="20"/>
        <v>0.42838800154183954</v>
      </c>
      <c r="AA182" t="str">
        <f t="shared" si="21"/>
        <v>August</v>
      </c>
      <c r="AB182">
        <f t="shared" si="22"/>
        <v>2024</v>
      </c>
      <c r="AC182" t="str">
        <f t="shared" si="23"/>
        <v>Clean</v>
      </c>
    </row>
    <row r="183" spans="1:29">
      <c r="A183" t="s">
        <v>651</v>
      </c>
      <c r="B183" s="2">
        <v>45909</v>
      </c>
      <c r="C183" s="2">
        <v>45939</v>
      </c>
      <c r="D183" s="3">
        <f t="shared" si="16"/>
        <v>30</v>
      </c>
      <c r="E183" t="s">
        <v>652</v>
      </c>
      <c r="F183" t="s">
        <v>114</v>
      </c>
      <c r="G183" t="s">
        <v>95</v>
      </c>
      <c r="H183" t="s">
        <v>54</v>
      </c>
      <c r="I183" t="s">
        <v>247</v>
      </c>
      <c r="J183" t="s">
        <v>248</v>
      </c>
      <c r="K183" t="s">
        <v>28</v>
      </c>
      <c r="L183" t="s">
        <v>48</v>
      </c>
      <c r="M183" t="s">
        <v>653</v>
      </c>
      <c r="N183" t="s">
        <v>31</v>
      </c>
      <c r="O183">
        <v>4</v>
      </c>
      <c r="P183">
        <v>2551.4499999999998</v>
      </c>
      <c r="Q183" s="7">
        <v>0</v>
      </c>
      <c r="R183">
        <v>10205.799999999999</v>
      </c>
      <c r="S183">
        <v>5986.31</v>
      </c>
      <c r="T183">
        <v>4219.49</v>
      </c>
      <c r="U183" t="s">
        <v>32</v>
      </c>
      <c r="V183" t="s">
        <v>33</v>
      </c>
      <c r="W183" s="8">
        <f t="shared" si="17"/>
        <v>0</v>
      </c>
      <c r="X183">
        <f t="shared" si="18"/>
        <v>10205.799999999999</v>
      </c>
      <c r="Y183">
        <f t="shared" si="19"/>
        <v>4219.4899999999989</v>
      </c>
      <c r="Z183" s="8">
        <f t="shared" si="20"/>
        <v>0.41344039663720622</v>
      </c>
      <c r="AA183" t="str">
        <f t="shared" si="21"/>
        <v>September</v>
      </c>
      <c r="AB183">
        <f t="shared" si="22"/>
        <v>2025</v>
      </c>
      <c r="AC183" t="str">
        <f t="shared" si="23"/>
        <v>Clean</v>
      </c>
    </row>
    <row r="184" spans="1:29">
      <c r="A184" t="s">
        <v>654</v>
      </c>
      <c r="B184" s="2">
        <v>45581</v>
      </c>
      <c r="C184" s="2">
        <v>45581</v>
      </c>
      <c r="D184" s="3">
        <f t="shared" si="16"/>
        <v>0</v>
      </c>
      <c r="E184" t="s">
        <v>655</v>
      </c>
      <c r="F184" t="s">
        <v>62</v>
      </c>
      <c r="G184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274</v>
      </c>
      <c r="M184" t="s">
        <v>656</v>
      </c>
      <c r="N184" t="s">
        <v>59</v>
      </c>
      <c r="O184">
        <v>7</v>
      </c>
      <c r="P184">
        <v>775.77</v>
      </c>
      <c r="Q184" s="7">
        <v>0</v>
      </c>
      <c r="R184">
        <v>5430.39</v>
      </c>
      <c r="S184">
        <v>3707.66</v>
      </c>
      <c r="T184">
        <v>1722.73</v>
      </c>
      <c r="U184" t="s">
        <v>32</v>
      </c>
      <c r="V184" t="s">
        <v>33</v>
      </c>
      <c r="W184" s="8">
        <f t="shared" si="17"/>
        <v>0</v>
      </c>
      <c r="X184">
        <f t="shared" si="18"/>
        <v>5430.3899999999994</v>
      </c>
      <c r="Y184">
        <f t="shared" si="19"/>
        <v>1722.7299999999996</v>
      </c>
      <c r="Z184" s="8">
        <f t="shared" si="20"/>
        <v>0.31723872502711586</v>
      </c>
      <c r="AA184" t="str">
        <f t="shared" si="21"/>
        <v>October</v>
      </c>
      <c r="AB184">
        <f t="shared" si="22"/>
        <v>2024</v>
      </c>
      <c r="AC184" t="str">
        <f t="shared" si="23"/>
        <v>Clean</v>
      </c>
    </row>
    <row r="185" spans="1:29">
      <c r="A185" t="s">
        <v>657</v>
      </c>
      <c r="B185" s="2">
        <v>45832</v>
      </c>
      <c r="C185" s="2">
        <v>45835</v>
      </c>
      <c r="D185" s="3">
        <f t="shared" si="16"/>
        <v>3</v>
      </c>
      <c r="E185" t="s">
        <v>658</v>
      </c>
      <c r="F185" t="s">
        <v>71</v>
      </c>
      <c r="G18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659</v>
      </c>
      <c r="N185" t="s">
        <v>59</v>
      </c>
      <c r="O185">
        <v>7</v>
      </c>
      <c r="P185">
        <v>2304.86</v>
      </c>
      <c r="Q185" s="6">
        <v>0.2</v>
      </c>
      <c r="R185">
        <v>12907.22</v>
      </c>
      <c r="S185">
        <v>8327.89</v>
      </c>
      <c r="T185">
        <v>4579.33</v>
      </c>
      <c r="U185" t="s">
        <v>32</v>
      </c>
      <c r="V185" t="s">
        <v>103</v>
      </c>
      <c r="W185" s="8">
        <f t="shared" si="17"/>
        <v>0.2</v>
      </c>
      <c r="X185">
        <f t="shared" si="18"/>
        <v>12907.216</v>
      </c>
      <c r="Y185">
        <f t="shared" si="19"/>
        <v>4579.3260000000009</v>
      </c>
      <c r="Z185" s="8">
        <f t="shared" si="20"/>
        <v>0.3547880503433119</v>
      </c>
      <c r="AA185" t="str">
        <f t="shared" si="21"/>
        <v>June</v>
      </c>
      <c r="AB185">
        <f t="shared" si="22"/>
        <v>2025</v>
      </c>
      <c r="AC185" t="str">
        <f t="shared" si="23"/>
        <v>Clean</v>
      </c>
    </row>
    <row r="186" spans="1:29">
      <c r="A186" t="s">
        <v>660</v>
      </c>
      <c r="B186" s="2">
        <v>45384</v>
      </c>
      <c r="C186" s="2">
        <v>45388</v>
      </c>
      <c r="D186" s="3">
        <f t="shared" si="16"/>
        <v>4</v>
      </c>
      <c r="E186" t="s">
        <v>661</v>
      </c>
      <c r="F186" t="s">
        <v>71</v>
      </c>
      <c r="G186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662</v>
      </c>
      <c r="N186" t="s">
        <v>59</v>
      </c>
      <c r="O186">
        <v>2</v>
      </c>
      <c r="P186">
        <v>888.98</v>
      </c>
      <c r="Q186" s="7">
        <v>0</v>
      </c>
      <c r="R186">
        <v>1777.96</v>
      </c>
      <c r="S186">
        <v>1021.16</v>
      </c>
      <c r="T186">
        <v>756.8</v>
      </c>
      <c r="U186" t="s">
        <v>102</v>
      </c>
      <c r="V186" t="s">
        <v>103</v>
      </c>
      <c r="W186" s="8">
        <f t="shared" si="17"/>
        <v>0</v>
      </c>
      <c r="X186">
        <f t="shared" si="18"/>
        <v>1777.96</v>
      </c>
      <c r="Y186">
        <f t="shared" si="19"/>
        <v>756.80000000000007</v>
      </c>
      <c r="Z186" s="8">
        <f t="shared" si="20"/>
        <v>0.42565637022205227</v>
      </c>
      <c r="AA186" t="str">
        <f t="shared" si="21"/>
        <v>April</v>
      </c>
      <c r="AB186">
        <f t="shared" si="22"/>
        <v>2024</v>
      </c>
      <c r="AC186" t="str">
        <f t="shared" si="23"/>
        <v>Clean</v>
      </c>
    </row>
    <row r="187" spans="1:29">
      <c r="A187" t="s">
        <v>663</v>
      </c>
      <c r="B187" s="2">
        <v>45601</v>
      </c>
      <c r="C187" s="2">
        <v>45609</v>
      </c>
      <c r="D187" s="3">
        <f t="shared" si="16"/>
        <v>8</v>
      </c>
      <c r="E187" t="s">
        <v>664</v>
      </c>
      <c r="F187" t="s">
        <v>53</v>
      </c>
      <c r="G187" t="s">
        <v>24</v>
      </c>
      <c r="H187" s="4" t="s">
        <v>2760</v>
      </c>
      <c r="I187" t="s">
        <v>122</v>
      </c>
      <c r="J187" t="s">
        <v>123</v>
      </c>
      <c r="K187" t="s">
        <v>28</v>
      </c>
      <c r="L187" t="s">
        <v>91</v>
      </c>
      <c r="M187" t="s">
        <v>665</v>
      </c>
      <c r="N187" t="s">
        <v>31</v>
      </c>
      <c r="O187">
        <v>2</v>
      </c>
      <c r="P187">
        <v>1003.17</v>
      </c>
      <c r="Q187" s="6">
        <v>0.2</v>
      </c>
      <c r="R187">
        <v>1605.07</v>
      </c>
      <c r="S187">
        <v>1337.28</v>
      </c>
      <c r="T187">
        <v>267.79000000000002</v>
      </c>
      <c r="U187" t="s">
        <v>32</v>
      </c>
      <c r="V187" t="s">
        <v>33</v>
      </c>
      <c r="W187" s="8">
        <f t="shared" si="17"/>
        <v>0.2</v>
      </c>
      <c r="X187">
        <f t="shared" si="18"/>
        <v>1605.0720000000001</v>
      </c>
      <c r="Y187">
        <f t="shared" si="19"/>
        <v>267.79200000000014</v>
      </c>
      <c r="Z187" s="8">
        <f t="shared" si="20"/>
        <v>0.16684111366966722</v>
      </c>
      <c r="AA187" t="str">
        <f t="shared" si="21"/>
        <v>November</v>
      </c>
      <c r="AB187">
        <f t="shared" si="22"/>
        <v>2024</v>
      </c>
      <c r="AC187" t="str">
        <f t="shared" si="23"/>
        <v>Clean</v>
      </c>
    </row>
    <row r="188" spans="1:29">
      <c r="A188" t="s">
        <v>666</v>
      </c>
      <c r="B188" s="2">
        <v>45492</v>
      </c>
      <c r="C188" s="2">
        <v>45493</v>
      </c>
      <c r="D188" s="3">
        <f t="shared" si="16"/>
        <v>1</v>
      </c>
      <c r="E188" t="s">
        <v>263</v>
      </c>
      <c r="F188" t="s">
        <v>71</v>
      </c>
      <c r="G188" t="s">
        <v>24</v>
      </c>
      <c r="H188" t="s">
        <v>54</v>
      </c>
      <c r="I188" t="s">
        <v>247</v>
      </c>
      <c r="J188" t="s">
        <v>248</v>
      </c>
      <c r="K188" t="s">
        <v>41</v>
      </c>
      <c r="L188" t="s">
        <v>42</v>
      </c>
      <c r="M188" t="s">
        <v>667</v>
      </c>
      <c r="N188" t="s">
        <v>50</v>
      </c>
      <c r="O188">
        <v>7</v>
      </c>
      <c r="P188">
        <v>3608.43</v>
      </c>
      <c r="Q188" s="6">
        <v>0.05</v>
      </c>
      <c r="R188">
        <v>23996.06</v>
      </c>
      <c r="S188">
        <v>20167.28</v>
      </c>
      <c r="T188">
        <v>3828.78</v>
      </c>
      <c r="U188" t="s">
        <v>32</v>
      </c>
      <c r="V188" t="s">
        <v>33</v>
      </c>
      <c r="W188" s="8">
        <f t="shared" si="17"/>
        <v>0.05</v>
      </c>
      <c r="X188">
        <f t="shared" si="18"/>
        <v>23996.059499999996</v>
      </c>
      <c r="Y188">
        <f t="shared" si="19"/>
        <v>3828.7794999999969</v>
      </c>
      <c r="Z188" s="8">
        <f t="shared" si="20"/>
        <v>0.15955867670689838</v>
      </c>
      <c r="AA188" t="str">
        <f t="shared" si="21"/>
        <v>July</v>
      </c>
      <c r="AB188">
        <f t="shared" si="22"/>
        <v>2024</v>
      </c>
      <c r="AC188" t="str">
        <f t="shared" si="23"/>
        <v>Clean</v>
      </c>
    </row>
    <row r="189" spans="1:29">
      <c r="A189" t="s">
        <v>668</v>
      </c>
      <c r="B189" s="2">
        <v>45778</v>
      </c>
      <c r="C189" s="2">
        <v>45779</v>
      </c>
      <c r="D189" s="3">
        <f t="shared" si="16"/>
        <v>1</v>
      </c>
      <c r="E189" t="s">
        <v>669</v>
      </c>
      <c r="F189" t="s">
        <v>36</v>
      </c>
      <c r="G189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670</v>
      </c>
      <c r="N189" t="s">
        <v>44</v>
      </c>
      <c r="O189">
        <v>3</v>
      </c>
      <c r="P189">
        <v>2905.74</v>
      </c>
      <c r="Q189" s="7">
        <v>0</v>
      </c>
      <c r="R189">
        <v>8717.2199999999993</v>
      </c>
      <c r="S189">
        <v>6215.96</v>
      </c>
      <c r="T189">
        <v>2501.2600000000002</v>
      </c>
      <c r="U189" t="s">
        <v>32</v>
      </c>
      <c r="V189" t="s">
        <v>103</v>
      </c>
      <c r="W189" s="8">
        <f t="shared" si="17"/>
        <v>0</v>
      </c>
      <c r="X189">
        <f t="shared" si="18"/>
        <v>8717.2199999999993</v>
      </c>
      <c r="Y189">
        <f t="shared" si="19"/>
        <v>2501.2599999999993</v>
      </c>
      <c r="Z189" s="8">
        <f t="shared" si="20"/>
        <v>0.28693321953558582</v>
      </c>
      <c r="AA189" t="str">
        <f t="shared" si="21"/>
        <v>May</v>
      </c>
      <c r="AB189">
        <f t="shared" si="22"/>
        <v>2025</v>
      </c>
      <c r="AC189" t="str">
        <f t="shared" si="23"/>
        <v>Clean</v>
      </c>
    </row>
    <row r="190" spans="1:29">
      <c r="A190" t="s">
        <v>671</v>
      </c>
      <c r="B190" s="2">
        <v>45798</v>
      </c>
      <c r="C190" s="2">
        <v>45805</v>
      </c>
      <c r="D190" s="3">
        <f t="shared" si="16"/>
        <v>7</v>
      </c>
      <c r="E190" t="s">
        <v>672</v>
      </c>
      <c r="F190" t="s">
        <v>114</v>
      </c>
      <c r="G190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673</v>
      </c>
      <c r="N190" t="s">
        <v>44</v>
      </c>
      <c r="O190">
        <v>2</v>
      </c>
      <c r="P190">
        <v>3559.57</v>
      </c>
      <c r="Q190" s="6">
        <v>0.1</v>
      </c>
      <c r="R190">
        <v>6553.95</v>
      </c>
      <c r="S190">
        <v>4923.09</v>
      </c>
      <c r="T190">
        <v>1484.14</v>
      </c>
      <c r="U190" t="s">
        <v>32</v>
      </c>
      <c r="V190" t="s">
        <v>33</v>
      </c>
      <c r="W190" s="8">
        <f t="shared" si="17"/>
        <v>0.1</v>
      </c>
      <c r="X190">
        <f t="shared" si="18"/>
        <v>6407.2260000000006</v>
      </c>
      <c r="Y190">
        <f t="shared" si="19"/>
        <v>1484.1360000000004</v>
      </c>
      <c r="Z190" s="8">
        <f t="shared" si="20"/>
        <v>0.23163471992403581</v>
      </c>
      <c r="AA190" t="str">
        <f t="shared" si="21"/>
        <v>May</v>
      </c>
      <c r="AB190">
        <f t="shared" si="22"/>
        <v>2025</v>
      </c>
      <c r="AC190" t="str">
        <f t="shared" si="23"/>
        <v>Clean</v>
      </c>
    </row>
    <row r="191" spans="1:29">
      <c r="A191" t="s">
        <v>674</v>
      </c>
      <c r="B191" s="2">
        <v>45783</v>
      </c>
      <c r="C191" s="2">
        <v>45784</v>
      </c>
      <c r="D191" s="3">
        <f t="shared" si="16"/>
        <v>1</v>
      </c>
      <c r="E191" t="s">
        <v>675</v>
      </c>
      <c r="F191" t="s">
        <v>53</v>
      </c>
      <c r="G191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676</v>
      </c>
      <c r="N191" t="s">
        <v>50</v>
      </c>
      <c r="O191">
        <v>9</v>
      </c>
      <c r="P191">
        <v>3318.24</v>
      </c>
      <c r="Q191" s="7">
        <v>0</v>
      </c>
      <c r="R191">
        <v>25384.54</v>
      </c>
      <c r="S191">
        <v>16872.39</v>
      </c>
      <c r="T191">
        <v>8512.15</v>
      </c>
      <c r="U191" t="s">
        <v>32</v>
      </c>
      <c r="V191" t="s">
        <v>33</v>
      </c>
      <c r="W191" s="8">
        <f t="shared" si="17"/>
        <v>0</v>
      </c>
      <c r="X191">
        <f t="shared" si="18"/>
        <v>29864.159999999996</v>
      </c>
      <c r="Y191">
        <f t="shared" si="19"/>
        <v>12991.769999999997</v>
      </c>
      <c r="Z191" s="8">
        <f t="shared" si="20"/>
        <v>0.43502881045373448</v>
      </c>
      <c r="AA191" t="str">
        <f t="shared" si="21"/>
        <v>May</v>
      </c>
      <c r="AB191">
        <f t="shared" si="22"/>
        <v>2025</v>
      </c>
      <c r="AC191" t="str">
        <f t="shared" si="23"/>
        <v>Clean</v>
      </c>
    </row>
    <row r="192" spans="1:29">
      <c r="A192" t="s">
        <v>677</v>
      </c>
      <c r="B192" s="2">
        <v>45767</v>
      </c>
      <c r="C192" s="2">
        <v>45768</v>
      </c>
      <c r="D192" s="3">
        <f t="shared" si="16"/>
        <v>1</v>
      </c>
      <c r="E192" t="s">
        <v>678</v>
      </c>
      <c r="F192" t="s">
        <v>89</v>
      </c>
      <c r="G192" t="s">
        <v>24</v>
      </c>
      <c r="H192" t="s">
        <v>54</v>
      </c>
      <c r="I192" t="s">
        <v>247</v>
      </c>
      <c r="J192" t="s">
        <v>248</v>
      </c>
      <c r="K192" t="s">
        <v>28</v>
      </c>
      <c r="L192" t="s">
        <v>124</v>
      </c>
      <c r="M192" t="s">
        <v>679</v>
      </c>
      <c r="N192" t="s">
        <v>50</v>
      </c>
      <c r="O192">
        <v>3</v>
      </c>
      <c r="P192">
        <v>540.09</v>
      </c>
      <c r="Q192" s="6">
        <v>0.1</v>
      </c>
      <c r="R192">
        <v>1458.24</v>
      </c>
      <c r="S192">
        <v>943.32</v>
      </c>
      <c r="T192">
        <v>514.91999999999996</v>
      </c>
      <c r="U192" t="s">
        <v>32</v>
      </c>
      <c r="V192" t="s">
        <v>33</v>
      </c>
      <c r="W192" s="8">
        <f t="shared" si="17"/>
        <v>0.1</v>
      </c>
      <c r="X192">
        <f t="shared" si="18"/>
        <v>1458.2429999999999</v>
      </c>
      <c r="Y192">
        <f t="shared" si="19"/>
        <v>514.92299999999989</v>
      </c>
      <c r="Z192" s="8">
        <f t="shared" si="20"/>
        <v>0.35311192990468659</v>
      </c>
      <c r="AA192" t="str">
        <f t="shared" si="21"/>
        <v>April</v>
      </c>
      <c r="AB192">
        <f t="shared" si="22"/>
        <v>2025</v>
      </c>
      <c r="AC192" t="str">
        <f t="shared" si="23"/>
        <v>Clean</v>
      </c>
    </row>
    <row r="193" spans="1:29">
      <c r="A193" t="s">
        <v>680</v>
      </c>
      <c r="B193" s="2">
        <v>45584</v>
      </c>
      <c r="C193" s="2">
        <v>45589</v>
      </c>
      <c r="D193" s="3">
        <f t="shared" si="16"/>
        <v>5</v>
      </c>
      <c r="E193" t="s">
        <v>681</v>
      </c>
      <c r="F193" t="s">
        <v>132</v>
      </c>
      <c r="G193" t="s">
        <v>37</v>
      </c>
      <c r="H193" t="s">
        <v>54</v>
      </c>
      <c r="I193" t="s">
        <v>247</v>
      </c>
      <c r="J193" t="s">
        <v>248</v>
      </c>
      <c r="K193" t="s">
        <v>41</v>
      </c>
      <c r="L193" t="s">
        <v>158</v>
      </c>
      <c r="M193" t="s">
        <v>682</v>
      </c>
      <c r="N193" t="s">
        <v>31</v>
      </c>
      <c r="O193">
        <v>6</v>
      </c>
      <c r="P193">
        <v>4308.3999999999996</v>
      </c>
      <c r="Q193" s="6">
        <v>0.65</v>
      </c>
      <c r="R193">
        <v>25850.400000000001</v>
      </c>
      <c r="S193">
        <v>19397.68</v>
      </c>
      <c r="T193">
        <v>6452.72</v>
      </c>
      <c r="U193" t="s">
        <v>32</v>
      </c>
      <c r="V193" t="s">
        <v>33</v>
      </c>
      <c r="W193" s="8">
        <f t="shared" si="17"/>
        <v>0.65</v>
      </c>
      <c r="X193">
        <f t="shared" si="18"/>
        <v>9047.64</v>
      </c>
      <c r="Y193">
        <f t="shared" si="19"/>
        <v>-10350.040000000001</v>
      </c>
      <c r="Z193" s="8">
        <f t="shared" si="20"/>
        <v>-1.1439491403283069</v>
      </c>
      <c r="AA193" t="str">
        <f t="shared" si="21"/>
        <v>October</v>
      </c>
      <c r="AB193">
        <f t="shared" si="22"/>
        <v>2024</v>
      </c>
      <c r="AC193" t="str">
        <f t="shared" si="23"/>
        <v>Clean</v>
      </c>
    </row>
    <row r="194" spans="1:29">
      <c r="A194" t="s">
        <v>683</v>
      </c>
      <c r="B194" s="2">
        <v>45635</v>
      </c>
      <c r="C194" s="2">
        <v>45642</v>
      </c>
      <c r="D194" s="3">
        <f t="shared" ref="D194:D257" si="24">C194-B194</f>
        <v>7</v>
      </c>
      <c r="E194" t="s">
        <v>684</v>
      </c>
      <c r="F194" t="s">
        <v>47</v>
      </c>
      <c r="G194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685</v>
      </c>
      <c r="N194" t="s">
        <v>50</v>
      </c>
      <c r="O194">
        <v>4</v>
      </c>
      <c r="P194">
        <v>2191.0300000000002</v>
      </c>
      <c r="Q194" s="7">
        <v>0</v>
      </c>
      <c r="R194">
        <v>8764.1200000000008</v>
      </c>
      <c r="S194">
        <v>7220.05</v>
      </c>
      <c r="T194">
        <v>1544.07</v>
      </c>
      <c r="U194" t="s">
        <v>32</v>
      </c>
      <c r="V194" t="s">
        <v>33</v>
      </c>
      <c r="W194" s="8">
        <f t="shared" si="17"/>
        <v>0</v>
      </c>
      <c r="X194">
        <f t="shared" si="18"/>
        <v>8764.1200000000008</v>
      </c>
      <c r="Y194">
        <f t="shared" si="19"/>
        <v>1544.0700000000006</v>
      </c>
      <c r="Z194" s="8">
        <f t="shared" si="20"/>
        <v>0.17618083732308554</v>
      </c>
      <c r="AA194" t="str">
        <f t="shared" si="21"/>
        <v>December</v>
      </c>
      <c r="AB194">
        <f t="shared" si="22"/>
        <v>2024</v>
      </c>
      <c r="AC194" t="str">
        <f t="shared" si="23"/>
        <v>Clean</v>
      </c>
    </row>
    <row r="195" spans="1:29">
      <c r="A195" t="s">
        <v>686</v>
      </c>
      <c r="B195" s="2">
        <v>45466</v>
      </c>
      <c r="C195" s="2">
        <v>45471</v>
      </c>
      <c r="D195" s="3">
        <f t="shared" si="24"/>
        <v>5</v>
      </c>
      <c r="E195" t="s">
        <v>687</v>
      </c>
      <c r="F195" t="s">
        <v>114</v>
      </c>
      <c r="G19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688</v>
      </c>
      <c r="N195" t="s">
        <v>44</v>
      </c>
      <c r="O195">
        <v>6</v>
      </c>
      <c r="P195">
        <v>1956.63</v>
      </c>
      <c r="Q195" s="6">
        <v>0.2</v>
      </c>
      <c r="R195">
        <v>9391.82</v>
      </c>
      <c r="S195">
        <v>6013.22</v>
      </c>
      <c r="T195">
        <v>3378.6</v>
      </c>
      <c r="U195" t="s">
        <v>102</v>
      </c>
      <c r="V195" t="s">
        <v>103</v>
      </c>
      <c r="W195" s="8">
        <f t="shared" ref="W195:W258" si="25">Q195</f>
        <v>0.2</v>
      </c>
      <c r="X195">
        <f t="shared" ref="X195:X258" si="26">O195*P195*(1-W195)</f>
        <v>9391.8240000000005</v>
      </c>
      <c r="Y195">
        <f t="shared" ref="Y195:Y258" si="27">X195-S195</f>
        <v>3378.6040000000003</v>
      </c>
      <c r="Z195" s="8">
        <f t="shared" ref="Z195:Z258" si="28">IF(X195=0,0,Y195/X195)</f>
        <v>0.35973885370935399</v>
      </c>
      <c r="AA195" t="str">
        <f t="shared" ref="AA195:AA258" si="29">TEXT(B195,"mmmm")</f>
        <v>June</v>
      </c>
      <c r="AB195">
        <f t="shared" ref="AB195:AB258" si="30">YEAR(B195)</f>
        <v>2024</v>
      </c>
      <c r="AC195" t="str">
        <f t="shared" ref="AC195:AC258" si="31">IF(Q195&lt;0,"Invalid",IF(D195&lt;0,"Warning","Clean"))</f>
        <v>Clean</v>
      </c>
    </row>
    <row r="196" spans="1:29">
      <c r="A196" t="s">
        <v>689</v>
      </c>
      <c r="B196" s="2">
        <v>45685</v>
      </c>
      <c r="C196" s="2">
        <v>45688</v>
      </c>
      <c r="D196" s="3">
        <f t="shared" si="24"/>
        <v>3</v>
      </c>
      <c r="E196" t="s">
        <v>690</v>
      </c>
      <c r="F196" t="s">
        <v>114</v>
      </c>
      <c r="G196" t="s">
        <v>24</v>
      </c>
      <c r="H196" t="s">
        <v>63</v>
      </c>
      <c r="I196" t="s">
        <v>64</v>
      </c>
      <c r="J196" t="s">
        <v>65</v>
      </c>
      <c r="K196" t="s">
        <v>41</v>
      </c>
      <c r="L196" t="s">
        <v>57</v>
      </c>
      <c r="M196" t="s">
        <v>691</v>
      </c>
      <c r="N196" t="s">
        <v>50</v>
      </c>
      <c r="O196">
        <v>9</v>
      </c>
      <c r="P196">
        <v>858.39</v>
      </c>
      <c r="Q196" s="6">
        <v>0.05</v>
      </c>
      <c r="R196">
        <v>7339.23</v>
      </c>
      <c r="S196">
        <v>5434.12</v>
      </c>
      <c r="T196">
        <v>1905.11</v>
      </c>
      <c r="U196" t="s">
        <v>111</v>
      </c>
      <c r="V196" t="s">
        <v>103</v>
      </c>
      <c r="W196" s="8">
        <f t="shared" si="25"/>
        <v>0.05</v>
      </c>
      <c r="X196">
        <f t="shared" si="26"/>
        <v>7339.2344999999996</v>
      </c>
      <c r="Y196">
        <f t="shared" si="27"/>
        <v>1905.1144999999997</v>
      </c>
      <c r="Z196" s="8">
        <f t="shared" si="28"/>
        <v>0.25957945614082772</v>
      </c>
      <c r="AA196" t="str">
        <f t="shared" si="29"/>
        <v>January</v>
      </c>
      <c r="AB196">
        <f t="shared" si="30"/>
        <v>2025</v>
      </c>
      <c r="AC196" t="str">
        <f t="shared" si="31"/>
        <v>Clean</v>
      </c>
    </row>
    <row r="197" spans="1:29">
      <c r="A197" t="s">
        <v>692</v>
      </c>
      <c r="B197" s="2">
        <v>45860</v>
      </c>
      <c r="C197" s="2">
        <v>45862</v>
      </c>
      <c r="D197" s="3">
        <f t="shared" si="24"/>
        <v>2</v>
      </c>
      <c r="E197" t="s">
        <v>693</v>
      </c>
      <c r="F197" t="s">
        <v>79</v>
      </c>
      <c r="G197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694</v>
      </c>
      <c r="N197" t="s">
        <v>44</v>
      </c>
      <c r="O197">
        <v>5</v>
      </c>
      <c r="P197">
        <v>1922.83</v>
      </c>
      <c r="Q197" s="7">
        <v>0</v>
      </c>
      <c r="R197">
        <v>9614.15</v>
      </c>
      <c r="S197">
        <v>7576.84</v>
      </c>
      <c r="T197">
        <v>2037.31</v>
      </c>
      <c r="U197" t="s">
        <v>32</v>
      </c>
      <c r="V197" t="s">
        <v>33</v>
      </c>
      <c r="W197" s="8">
        <f t="shared" si="25"/>
        <v>0</v>
      </c>
      <c r="X197">
        <f t="shared" si="26"/>
        <v>9614.15</v>
      </c>
      <c r="Y197">
        <f t="shared" si="27"/>
        <v>2037.3099999999995</v>
      </c>
      <c r="Z197" s="8">
        <f t="shared" si="28"/>
        <v>0.21190744891644084</v>
      </c>
      <c r="AA197" t="str">
        <f t="shared" si="29"/>
        <v>July</v>
      </c>
      <c r="AB197">
        <f t="shared" si="30"/>
        <v>2025</v>
      </c>
      <c r="AC197" t="str">
        <f t="shared" si="31"/>
        <v>Clean</v>
      </c>
    </row>
    <row r="198" spans="1:29">
      <c r="A198" t="s">
        <v>695</v>
      </c>
      <c r="B198" s="2">
        <v>45313</v>
      </c>
      <c r="C198" s="2">
        <v>45316</v>
      </c>
      <c r="D198" s="3">
        <f t="shared" si="24"/>
        <v>3</v>
      </c>
      <c r="E198" t="s">
        <v>696</v>
      </c>
      <c r="F198" t="s">
        <v>264</v>
      </c>
      <c r="G198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697</v>
      </c>
      <c r="N198" t="s">
        <v>50</v>
      </c>
      <c r="O198">
        <v>3</v>
      </c>
      <c r="P198">
        <v>1212.03</v>
      </c>
      <c r="Q198" s="6">
        <v>0.1</v>
      </c>
      <c r="R198">
        <v>3272.48</v>
      </c>
      <c r="S198">
        <v>2517.44</v>
      </c>
      <c r="T198">
        <v>755.04</v>
      </c>
      <c r="U198" t="s">
        <v>32</v>
      </c>
      <c r="V198" t="s">
        <v>33</v>
      </c>
      <c r="W198" s="8">
        <f t="shared" si="25"/>
        <v>0.1</v>
      </c>
      <c r="X198">
        <f t="shared" si="26"/>
        <v>3272.4810000000002</v>
      </c>
      <c r="Y198">
        <f t="shared" si="27"/>
        <v>755.04100000000017</v>
      </c>
      <c r="Z198" s="8">
        <f t="shared" si="28"/>
        <v>0.23072433422837293</v>
      </c>
      <c r="AA198" t="str">
        <f t="shared" si="29"/>
        <v>January</v>
      </c>
      <c r="AB198">
        <f t="shared" si="30"/>
        <v>2024</v>
      </c>
      <c r="AC198" t="str">
        <f t="shared" si="31"/>
        <v>Clean</v>
      </c>
    </row>
    <row r="199" spans="1:29">
      <c r="A199" t="s">
        <v>698</v>
      </c>
      <c r="B199" s="2">
        <v>45747</v>
      </c>
      <c r="C199" s="2">
        <v>45842</v>
      </c>
      <c r="D199" s="3">
        <f t="shared" si="24"/>
        <v>95</v>
      </c>
      <c r="E199" t="s">
        <v>390</v>
      </c>
      <c r="F199" t="s">
        <v>118</v>
      </c>
      <c r="G199" t="s">
        <v>37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699</v>
      </c>
      <c r="N199" t="s">
        <v>31</v>
      </c>
      <c r="O199">
        <v>5</v>
      </c>
      <c r="P199">
        <v>4096.4399999999996</v>
      </c>
      <c r="Q199" s="6">
        <v>0.15</v>
      </c>
      <c r="R199">
        <v>17409.87</v>
      </c>
      <c r="S199">
        <v>14076.25</v>
      </c>
      <c r="T199">
        <v>3333.62</v>
      </c>
      <c r="U199" t="s">
        <v>32</v>
      </c>
      <c r="V199" t="s">
        <v>33</v>
      </c>
      <c r="W199" s="8">
        <f t="shared" si="25"/>
        <v>0.15</v>
      </c>
      <c r="X199">
        <f t="shared" si="26"/>
        <v>17409.869999999995</v>
      </c>
      <c r="Y199">
        <f t="shared" si="27"/>
        <v>3333.6199999999953</v>
      </c>
      <c r="Z199" s="8">
        <f t="shared" si="28"/>
        <v>0.19147874165631312</v>
      </c>
      <c r="AA199" t="str">
        <f t="shared" si="29"/>
        <v>March</v>
      </c>
      <c r="AB199">
        <f t="shared" si="30"/>
        <v>2025</v>
      </c>
      <c r="AC199" t="str">
        <f t="shared" si="31"/>
        <v>Clean</v>
      </c>
    </row>
    <row r="200" spans="1:29">
      <c r="A200" t="s">
        <v>700</v>
      </c>
      <c r="B200" s="2">
        <v>45418</v>
      </c>
      <c r="C200" s="2">
        <v>45449</v>
      </c>
      <c r="D200" s="3">
        <f t="shared" si="24"/>
        <v>31</v>
      </c>
      <c r="E200" t="s">
        <v>701</v>
      </c>
      <c r="F200" t="s">
        <v>132</v>
      </c>
      <c r="G200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702</v>
      </c>
      <c r="N200" t="s">
        <v>31</v>
      </c>
      <c r="O200">
        <v>1</v>
      </c>
      <c r="P200">
        <v>1184.58</v>
      </c>
      <c r="Q200" s="6">
        <v>0.05</v>
      </c>
      <c r="R200">
        <v>1125.3499999999999</v>
      </c>
      <c r="S200">
        <v>676.97</v>
      </c>
      <c r="T200">
        <v>448.38</v>
      </c>
      <c r="U200" t="s">
        <v>155</v>
      </c>
      <c r="V200" t="s">
        <v>68</v>
      </c>
      <c r="W200" s="8">
        <f t="shared" si="25"/>
        <v>0.05</v>
      </c>
      <c r="X200">
        <f t="shared" si="26"/>
        <v>1125.3509999999999</v>
      </c>
      <c r="Y200">
        <f t="shared" si="27"/>
        <v>448.38099999999986</v>
      </c>
      <c r="Z200" s="8">
        <f t="shared" si="28"/>
        <v>0.39843657667696558</v>
      </c>
      <c r="AA200" t="str">
        <f t="shared" si="29"/>
        <v>May</v>
      </c>
      <c r="AB200">
        <f t="shared" si="30"/>
        <v>2024</v>
      </c>
      <c r="AC200" t="str">
        <f t="shared" si="31"/>
        <v>Clean</v>
      </c>
    </row>
    <row r="201" spans="1:29">
      <c r="A201" t="s">
        <v>703</v>
      </c>
      <c r="B201" s="2">
        <v>45363</v>
      </c>
      <c r="C201" s="2">
        <v>45629</v>
      </c>
      <c r="D201" s="3">
        <f t="shared" si="24"/>
        <v>266</v>
      </c>
      <c r="E201" t="s">
        <v>704</v>
      </c>
      <c r="F201" t="s">
        <v>118</v>
      </c>
      <c r="G201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274</v>
      </c>
      <c r="M201" t="s">
        <v>705</v>
      </c>
      <c r="N201" s="4" t="s">
        <v>2760</v>
      </c>
      <c r="O201">
        <v>6</v>
      </c>
      <c r="P201">
        <v>2185.58</v>
      </c>
      <c r="Q201" s="6">
        <v>0.25</v>
      </c>
      <c r="R201">
        <v>9835.11</v>
      </c>
      <c r="S201">
        <v>5437.64</v>
      </c>
      <c r="T201">
        <v>4397.47</v>
      </c>
      <c r="U201" t="s">
        <v>32</v>
      </c>
      <c r="V201" t="s">
        <v>33</v>
      </c>
      <c r="W201" s="8">
        <f t="shared" si="25"/>
        <v>0.25</v>
      </c>
      <c r="X201">
        <f t="shared" si="26"/>
        <v>9835.11</v>
      </c>
      <c r="Y201">
        <f t="shared" si="27"/>
        <v>4397.47</v>
      </c>
      <c r="Z201" s="8">
        <f t="shared" si="28"/>
        <v>0.44711955433136996</v>
      </c>
      <c r="AA201" t="str">
        <f t="shared" si="29"/>
        <v>March</v>
      </c>
      <c r="AB201">
        <f t="shared" si="30"/>
        <v>2024</v>
      </c>
      <c r="AC201" t="str">
        <f t="shared" si="31"/>
        <v>Clean</v>
      </c>
    </row>
    <row r="202" spans="1:29">
      <c r="A202" t="s">
        <v>706</v>
      </c>
      <c r="B202" s="2">
        <v>45835</v>
      </c>
      <c r="C202" s="2">
        <v>45843</v>
      </c>
      <c r="D202" s="3">
        <f t="shared" si="24"/>
        <v>8</v>
      </c>
      <c r="E202" t="s">
        <v>707</v>
      </c>
      <c r="F202" t="s">
        <v>114</v>
      </c>
      <c r="G202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708</v>
      </c>
      <c r="N202" t="s">
        <v>50</v>
      </c>
      <c r="O202">
        <v>5</v>
      </c>
      <c r="P202">
        <v>2868.44</v>
      </c>
      <c r="Q202" s="6">
        <v>0.1</v>
      </c>
      <c r="R202">
        <v>12907.98</v>
      </c>
      <c r="S202">
        <v>9197.08</v>
      </c>
      <c r="T202">
        <v>3710.9</v>
      </c>
      <c r="U202" t="s">
        <v>111</v>
      </c>
      <c r="V202" t="s">
        <v>68</v>
      </c>
      <c r="W202" s="8">
        <f t="shared" si="25"/>
        <v>0.1</v>
      </c>
      <c r="X202">
        <f t="shared" si="26"/>
        <v>12907.980000000001</v>
      </c>
      <c r="Y202">
        <f t="shared" si="27"/>
        <v>3710.9000000000015</v>
      </c>
      <c r="Z202" s="8">
        <f t="shared" si="28"/>
        <v>0.28748882474252369</v>
      </c>
      <c r="AA202" t="str">
        <f t="shared" si="29"/>
        <v>June</v>
      </c>
      <c r="AB202">
        <f t="shared" si="30"/>
        <v>2025</v>
      </c>
      <c r="AC202" t="str">
        <f t="shared" si="31"/>
        <v>Clean</v>
      </c>
    </row>
    <row r="203" spans="1:29">
      <c r="A203" t="s">
        <v>709</v>
      </c>
      <c r="B203" s="2">
        <v>45864</v>
      </c>
      <c r="C203" s="2">
        <v>45872</v>
      </c>
      <c r="D203" s="3">
        <f t="shared" si="24"/>
        <v>8</v>
      </c>
      <c r="E203" t="s">
        <v>710</v>
      </c>
      <c r="F203" t="s">
        <v>71</v>
      </c>
      <c r="G203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711</v>
      </c>
      <c r="N203" t="s">
        <v>31</v>
      </c>
      <c r="O203">
        <v>2</v>
      </c>
      <c r="P203">
        <v>2503.5300000000002</v>
      </c>
      <c r="Q203" s="7">
        <v>-0.16</v>
      </c>
      <c r="R203">
        <v>4756.71</v>
      </c>
      <c r="S203">
        <v>2954.86</v>
      </c>
      <c r="T203">
        <v>1801.85</v>
      </c>
      <c r="U203" t="s">
        <v>102</v>
      </c>
      <c r="V203" t="s">
        <v>68</v>
      </c>
      <c r="W203" s="8">
        <f t="shared" si="25"/>
        <v>-0.16</v>
      </c>
      <c r="X203">
        <f t="shared" si="26"/>
        <v>5808.1895999999997</v>
      </c>
      <c r="Y203">
        <f t="shared" si="27"/>
        <v>2853.3295999999996</v>
      </c>
      <c r="Z203" s="8">
        <f t="shared" si="28"/>
        <v>0.49125972058487893</v>
      </c>
      <c r="AA203" t="str">
        <f t="shared" si="29"/>
        <v>July</v>
      </c>
      <c r="AB203">
        <f t="shared" si="30"/>
        <v>2025</v>
      </c>
      <c r="AC203" t="str">
        <f t="shared" si="31"/>
        <v>Invalid</v>
      </c>
    </row>
    <row r="204" spans="1:29">
      <c r="A204" t="s">
        <v>712</v>
      </c>
      <c r="B204" s="2">
        <v>45744</v>
      </c>
      <c r="C204" s="2">
        <v>45744</v>
      </c>
      <c r="D204" s="3">
        <f t="shared" si="24"/>
        <v>0</v>
      </c>
      <c r="E204" t="s">
        <v>713</v>
      </c>
      <c r="F204" t="s">
        <v>132</v>
      </c>
      <c r="G204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714</v>
      </c>
      <c r="N204" t="s">
        <v>59</v>
      </c>
      <c r="O204">
        <v>8</v>
      </c>
      <c r="P204">
        <v>1740.94</v>
      </c>
      <c r="Q204" s="6">
        <v>0.05</v>
      </c>
      <c r="R204">
        <v>13231.14</v>
      </c>
      <c r="S204">
        <v>11290.06</v>
      </c>
      <c r="T204">
        <v>1941.08</v>
      </c>
      <c r="U204" t="s">
        <v>32</v>
      </c>
      <c r="V204" t="s">
        <v>33</v>
      </c>
      <c r="W204" s="8">
        <f t="shared" si="25"/>
        <v>0.05</v>
      </c>
      <c r="X204">
        <f t="shared" si="26"/>
        <v>13231.144</v>
      </c>
      <c r="Y204">
        <f t="shared" si="27"/>
        <v>1941.0840000000007</v>
      </c>
      <c r="Z204" s="8">
        <f t="shared" si="28"/>
        <v>0.14670568168557463</v>
      </c>
      <c r="AA204" t="str">
        <f t="shared" si="29"/>
        <v>March</v>
      </c>
      <c r="AB204">
        <f t="shared" si="30"/>
        <v>2025</v>
      </c>
      <c r="AC204" t="str">
        <f t="shared" si="31"/>
        <v>Clean</v>
      </c>
    </row>
    <row r="205" spans="1:29">
      <c r="A205" t="s">
        <v>715</v>
      </c>
      <c r="B205" s="2">
        <v>45379</v>
      </c>
      <c r="C205" s="2">
        <v>45381</v>
      </c>
      <c r="D205" s="3">
        <f t="shared" si="24"/>
        <v>2</v>
      </c>
      <c r="E205" t="s">
        <v>716</v>
      </c>
      <c r="F205" t="s">
        <v>132</v>
      </c>
      <c r="G20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717</v>
      </c>
      <c r="N205" t="s">
        <v>31</v>
      </c>
      <c r="O205">
        <v>1</v>
      </c>
      <c r="P205">
        <v>570.34</v>
      </c>
      <c r="Q205" s="6">
        <v>0.15</v>
      </c>
      <c r="R205">
        <v>484.79</v>
      </c>
      <c r="S205">
        <v>333.54</v>
      </c>
      <c r="T205">
        <v>151.25</v>
      </c>
      <c r="U205" t="s">
        <v>32</v>
      </c>
      <c r="V205" t="s">
        <v>33</v>
      </c>
      <c r="W205" s="8">
        <f t="shared" si="25"/>
        <v>0.15</v>
      </c>
      <c r="X205">
        <f t="shared" si="26"/>
        <v>484.78899999999999</v>
      </c>
      <c r="Y205">
        <f t="shared" si="27"/>
        <v>151.24899999999997</v>
      </c>
      <c r="Z205" s="8">
        <f t="shared" si="28"/>
        <v>0.3119893396921134</v>
      </c>
      <c r="AA205" t="str">
        <f t="shared" si="29"/>
        <v>March</v>
      </c>
      <c r="AB205">
        <f t="shared" si="30"/>
        <v>2024</v>
      </c>
      <c r="AC205" t="str">
        <f t="shared" si="31"/>
        <v>Clean</v>
      </c>
    </row>
    <row r="206" spans="1:29">
      <c r="A206" t="s">
        <v>718</v>
      </c>
      <c r="B206" s="2">
        <v>45858</v>
      </c>
      <c r="C206" s="2">
        <v>45861</v>
      </c>
      <c r="D206" s="3">
        <f t="shared" si="24"/>
        <v>3</v>
      </c>
      <c r="E206" t="s">
        <v>719</v>
      </c>
      <c r="F206" t="s">
        <v>36</v>
      </c>
      <c r="G206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720</v>
      </c>
      <c r="N206" t="s">
        <v>31</v>
      </c>
      <c r="O206">
        <v>4</v>
      </c>
      <c r="P206">
        <v>477.69</v>
      </c>
      <c r="Q206" s="6">
        <v>0.15</v>
      </c>
      <c r="R206">
        <v>1624.15</v>
      </c>
      <c r="S206">
        <v>1217.99</v>
      </c>
      <c r="T206">
        <v>406.16</v>
      </c>
      <c r="U206" t="s">
        <v>32</v>
      </c>
      <c r="V206" t="s">
        <v>33</v>
      </c>
      <c r="W206" s="8">
        <f t="shared" si="25"/>
        <v>0.15</v>
      </c>
      <c r="X206">
        <f t="shared" si="26"/>
        <v>1624.146</v>
      </c>
      <c r="Y206">
        <f t="shared" si="27"/>
        <v>406.15599999999995</v>
      </c>
      <c r="Z206" s="8">
        <f t="shared" si="28"/>
        <v>0.25007357712914968</v>
      </c>
      <c r="AA206" t="str">
        <f t="shared" si="29"/>
        <v>July</v>
      </c>
      <c r="AB206">
        <f t="shared" si="30"/>
        <v>2025</v>
      </c>
      <c r="AC206" t="str">
        <f t="shared" si="31"/>
        <v>Clean</v>
      </c>
    </row>
    <row r="207" spans="1:29">
      <c r="A207" t="s">
        <v>721</v>
      </c>
      <c r="B207" s="2">
        <v>45768</v>
      </c>
      <c r="C207" s="2">
        <v>45773</v>
      </c>
      <c r="D207" s="3">
        <f t="shared" si="24"/>
        <v>5</v>
      </c>
      <c r="E207" t="s">
        <v>722</v>
      </c>
      <c r="F207" t="s">
        <v>62</v>
      </c>
      <c r="G207" t="s">
        <v>24</v>
      </c>
      <c r="H207" t="s">
        <v>63</v>
      </c>
      <c r="I207" t="s">
        <v>64</v>
      </c>
      <c r="J207" t="s">
        <v>65</v>
      </c>
      <c r="K207" t="s">
        <v>28</v>
      </c>
      <c r="L207" t="s">
        <v>91</v>
      </c>
      <c r="M207" t="s">
        <v>723</v>
      </c>
      <c r="N207" t="s">
        <v>44</v>
      </c>
      <c r="O207">
        <v>6</v>
      </c>
      <c r="P207">
        <v>873.59</v>
      </c>
      <c r="Q207" s="6">
        <v>0.2</v>
      </c>
      <c r="R207">
        <v>4193.2299999999996</v>
      </c>
      <c r="S207">
        <v>3329.99</v>
      </c>
      <c r="T207">
        <v>863.24</v>
      </c>
      <c r="U207" t="s">
        <v>32</v>
      </c>
      <c r="V207" t="s">
        <v>33</v>
      </c>
      <c r="W207" s="8">
        <f t="shared" si="25"/>
        <v>0.2</v>
      </c>
      <c r="X207">
        <f t="shared" si="26"/>
        <v>4193.232</v>
      </c>
      <c r="Y207">
        <f t="shared" si="27"/>
        <v>863.24200000000019</v>
      </c>
      <c r="Z207" s="8">
        <f t="shared" si="28"/>
        <v>0.2058655471483572</v>
      </c>
      <c r="AA207" t="str">
        <f t="shared" si="29"/>
        <v>April</v>
      </c>
      <c r="AB207">
        <f t="shared" si="30"/>
        <v>2025</v>
      </c>
      <c r="AC207" t="str">
        <f t="shared" si="31"/>
        <v>Clean</v>
      </c>
    </row>
    <row r="208" spans="1:29">
      <c r="A208" t="s">
        <v>724</v>
      </c>
      <c r="B208" s="2">
        <v>45795</v>
      </c>
      <c r="C208" s="2">
        <v>45797</v>
      </c>
      <c r="D208" s="3">
        <f t="shared" si="24"/>
        <v>2</v>
      </c>
      <c r="E208" t="s">
        <v>725</v>
      </c>
      <c r="F208" t="s">
        <v>162</v>
      </c>
      <c r="G208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726</v>
      </c>
      <c r="N208" t="s">
        <v>50</v>
      </c>
      <c r="O208">
        <v>2</v>
      </c>
      <c r="P208">
        <v>215.13</v>
      </c>
      <c r="Q208" s="7">
        <v>0</v>
      </c>
      <c r="R208">
        <v>430.26</v>
      </c>
      <c r="S208">
        <v>286.38</v>
      </c>
      <c r="T208">
        <v>143.88</v>
      </c>
      <c r="U208" t="s">
        <v>32</v>
      </c>
      <c r="V208" t="s">
        <v>33</v>
      </c>
      <c r="W208" s="8">
        <f t="shared" si="25"/>
        <v>0</v>
      </c>
      <c r="X208">
        <f t="shared" si="26"/>
        <v>430.26</v>
      </c>
      <c r="Y208">
        <f t="shared" si="27"/>
        <v>143.88</v>
      </c>
      <c r="Z208" s="8">
        <f t="shared" si="28"/>
        <v>0.33440245432994004</v>
      </c>
      <c r="AA208" t="str">
        <f t="shared" si="29"/>
        <v>May</v>
      </c>
      <c r="AB208">
        <f t="shared" si="30"/>
        <v>2025</v>
      </c>
      <c r="AC208" t="str">
        <f t="shared" si="31"/>
        <v>Clean</v>
      </c>
    </row>
    <row r="209" spans="1:29">
      <c r="A209" t="s">
        <v>727</v>
      </c>
      <c r="B209" s="2">
        <v>45483</v>
      </c>
      <c r="C209" s="2">
        <v>45489</v>
      </c>
      <c r="D209" s="3">
        <f t="shared" si="24"/>
        <v>6</v>
      </c>
      <c r="E209" t="s">
        <v>728</v>
      </c>
      <c r="F209" t="s">
        <v>128</v>
      </c>
      <c r="G209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729</v>
      </c>
      <c r="N209" t="s">
        <v>31</v>
      </c>
      <c r="O209">
        <v>2</v>
      </c>
      <c r="P209">
        <v>1095.45</v>
      </c>
      <c r="Q209" s="6">
        <v>0.2</v>
      </c>
      <c r="R209">
        <v>1752.72</v>
      </c>
      <c r="S209">
        <v>996.41</v>
      </c>
      <c r="T209">
        <v>756.31</v>
      </c>
      <c r="U209" t="s">
        <v>32</v>
      </c>
      <c r="V209" t="s">
        <v>33</v>
      </c>
      <c r="W209" s="8">
        <f t="shared" si="25"/>
        <v>0.2</v>
      </c>
      <c r="X209">
        <f t="shared" si="26"/>
        <v>1752.7200000000003</v>
      </c>
      <c r="Y209">
        <f t="shared" si="27"/>
        <v>756.31000000000029</v>
      </c>
      <c r="Z209" s="8">
        <f t="shared" si="28"/>
        <v>0.43150645853302305</v>
      </c>
      <c r="AA209" t="str">
        <f t="shared" si="29"/>
        <v>July</v>
      </c>
      <c r="AB209">
        <f t="shared" si="30"/>
        <v>2024</v>
      </c>
      <c r="AC209" t="str">
        <f t="shared" si="31"/>
        <v>Clean</v>
      </c>
    </row>
    <row r="210" spans="1:29">
      <c r="A210" t="s">
        <v>730</v>
      </c>
      <c r="B210" s="2">
        <v>45837</v>
      </c>
      <c r="C210" s="2">
        <v>45784</v>
      </c>
      <c r="D210" s="5">
        <f t="shared" si="24"/>
        <v>-53</v>
      </c>
      <c r="E210" t="s">
        <v>731</v>
      </c>
      <c r="F210" t="s">
        <v>162</v>
      </c>
      <c r="G210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732</v>
      </c>
      <c r="N210" t="s">
        <v>44</v>
      </c>
      <c r="O210">
        <v>1</v>
      </c>
      <c r="P210">
        <v>999.83</v>
      </c>
      <c r="Q210" s="7">
        <v>0</v>
      </c>
      <c r="R210">
        <v>999.83</v>
      </c>
      <c r="S210">
        <v>634.91</v>
      </c>
      <c r="T210">
        <v>364.92</v>
      </c>
      <c r="U210" t="s">
        <v>32</v>
      </c>
      <c r="V210" t="s">
        <v>33</v>
      </c>
      <c r="W210" s="8">
        <f t="shared" si="25"/>
        <v>0</v>
      </c>
      <c r="X210">
        <f t="shared" si="26"/>
        <v>999.83</v>
      </c>
      <c r="Y210">
        <f t="shared" si="27"/>
        <v>364.92000000000007</v>
      </c>
      <c r="Z210" s="8">
        <f t="shared" si="28"/>
        <v>0.3649820469479812</v>
      </c>
      <c r="AA210" t="str">
        <f t="shared" si="29"/>
        <v>June</v>
      </c>
      <c r="AB210">
        <f t="shared" si="30"/>
        <v>2025</v>
      </c>
      <c r="AC210" t="str">
        <f t="shared" si="31"/>
        <v>Warning</v>
      </c>
    </row>
    <row r="211" spans="1:29">
      <c r="A211" t="s">
        <v>733</v>
      </c>
      <c r="B211" s="2">
        <v>45882</v>
      </c>
      <c r="C211" s="2">
        <v>45883</v>
      </c>
      <c r="D211" s="3">
        <f t="shared" si="24"/>
        <v>1</v>
      </c>
      <c r="E211" t="s">
        <v>734</v>
      </c>
      <c r="F211" t="s">
        <v>141</v>
      </c>
      <c r="G211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735</v>
      </c>
      <c r="N211" t="s">
        <v>50</v>
      </c>
      <c r="O211">
        <v>9</v>
      </c>
      <c r="P211">
        <v>864.98</v>
      </c>
      <c r="Q211" s="6">
        <v>0.1</v>
      </c>
      <c r="R211">
        <v>7006.34</v>
      </c>
      <c r="S211">
        <v>4640.88</v>
      </c>
      <c r="T211">
        <v>2365.46</v>
      </c>
      <c r="U211" t="s">
        <v>32</v>
      </c>
      <c r="V211" t="s">
        <v>33</v>
      </c>
      <c r="W211" s="8">
        <f t="shared" si="25"/>
        <v>0.1</v>
      </c>
      <c r="X211">
        <f t="shared" si="26"/>
        <v>7006.3379999999997</v>
      </c>
      <c r="Y211">
        <f t="shared" si="27"/>
        <v>2365.4579999999996</v>
      </c>
      <c r="Z211" s="8">
        <f t="shared" si="28"/>
        <v>0.33761688345609359</v>
      </c>
      <c r="AA211" t="str">
        <f t="shared" si="29"/>
        <v>August</v>
      </c>
      <c r="AB211">
        <f t="shared" si="30"/>
        <v>2025</v>
      </c>
      <c r="AC211" t="str">
        <f t="shared" si="31"/>
        <v>Clean</v>
      </c>
    </row>
    <row r="212" spans="1:29">
      <c r="A212" t="s">
        <v>736</v>
      </c>
      <c r="B212" s="2">
        <v>45366</v>
      </c>
      <c r="C212" s="2">
        <v>45369</v>
      </c>
      <c r="D212" s="3">
        <f t="shared" si="24"/>
        <v>3</v>
      </c>
      <c r="E212" t="s">
        <v>737</v>
      </c>
      <c r="F212" t="s">
        <v>264</v>
      </c>
      <c r="G212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274</v>
      </c>
      <c r="M212" t="s">
        <v>738</v>
      </c>
      <c r="N212" t="s">
        <v>31</v>
      </c>
      <c r="O212">
        <v>1</v>
      </c>
      <c r="P212">
        <v>4131.3599999999997</v>
      </c>
      <c r="Q212" s="7">
        <v>0</v>
      </c>
      <c r="R212">
        <v>4131.3599999999997</v>
      </c>
      <c r="S212">
        <v>2937.07</v>
      </c>
      <c r="T212">
        <v>1194.29</v>
      </c>
      <c r="U212" t="s">
        <v>155</v>
      </c>
      <c r="V212" t="s">
        <v>103</v>
      </c>
      <c r="W212" s="8">
        <f t="shared" si="25"/>
        <v>0</v>
      </c>
      <c r="X212">
        <f t="shared" si="26"/>
        <v>4131.3599999999997</v>
      </c>
      <c r="Y212">
        <f t="shared" si="27"/>
        <v>1194.2899999999995</v>
      </c>
      <c r="Z212" s="8">
        <f t="shared" si="28"/>
        <v>0.28907914100925591</v>
      </c>
      <c r="AA212" t="str">
        <f t="shared" si="29"/>
        <v>March</v>
      </c>
      <c r="AB212">
        <f t="shared" si="30"/>
        <v>2024</v>
      </c>
      <c r="AC212" t="str">
        <f t="shared" si="31"/>
        <v>Clean</v>
      </c>
    </row>
    <row r="213" spans="1:29">
      <c r="A213" t="s">
        <v>739</v>
      </c>
      <c r="B213" s="2">
        <v>45428</v>
      </c>
      <c r="C213" s="2">
        <v>45429</v>
      </c>
      <c r="D213" s="3">
        <f t="shared" si="24"/>
        <v>1</v>
      </c>
      <c r="E213" t="s">
        <v>740</v>
      </c>
      <c r="F213" t="s">
        <v>141</v>
      </c>
      <c r="G213" t="s">
        <v>90</v>
      </c>
      <c r="H213" t="s">
        <v>38</v>
      </c>
      <c r="I213" t="s">
        <v>99</v>
      </c>
      <c r="J213" t="s">
        <v>100</v>
      </c>
      <c r="K213" t="s">
        <v>74</v>
      </c>
      <c r="L213" t="s">
        <v>80</v>
      </c>
      <c r="M213" t="s">
        <v>741</v>
      </c>
      <c r="N213" t="s">
        <v>31</v>
      </c>
      <c r="O213">
        <v>8</v>
      </c>
      <c r="P213">
        <v>4221.95</v>
      </c>
      <c r="Q213" s="6">
        <v>0.2</v>
      </c>
      <c r="R213">
        <v>27020.48</v>
      </c>
      <c r="S213">
        <v>22885.24</v>
      </c>
      <c r="T213">
        <v>4135.24</v>
      </c>
      <c r="U213" t="s">
        <v>32</v>
      </c>
      <c r="V213" t="s">
        <v>33</v>
      </c>
      <c r="W213" s="8">
        <f t="shared" si="25"/>
        <v>0.2</v>
      </c>
      <c r="X213">
        <f t="shared" si="26"/>
        <v>27020.48</v>
      </c>
      <c r="Y213">
        <f t="shared" si="27"/>
        <v>4135.239999999998</v>
      </c>
      <c r="Z213" s="8">
        <f t="shared" si="28"/>
        <v>0.15304095264036752</v>
      </c>
      <c r="AA213" t="str">
        <f t="shared" si="29"/>
        <v>May</v>
      </c>
      <c r="AB213">
        <f t="shared" si="30"/>
        <v>2024</v>
      </c>
      <c r="AC213" t="str">
        <f t="shared" si="31"/>
        <v>Clean</v>
      </c>
    </row>
    <row r="214" spans="1:29">
      <c r="A214" t="s">
        <v>742</v>
      </c>
      <c r="B214" s="2">
        <v>45556</v>
      </c>
      <c r="C214" s="2">
        <v>45556</v>
      </c>
      <c r="D214" s="3">
        <f t="shared" si="24"/>
        <v>0</v>
      </c>
      <c r="E214" t="s">
        <v>743</v>
      </c>
      <c r="F214" t="s">
        <v>62</v>
      </c>
      <c r="G214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744</v>
      </c>
      <c r="N214" t="s">
        <v>44</v>
      </c>
      <c r="O214">
        <v>2</v>
      </c>
      <c r="P214">
        <v>214.5</v>
      </c>
      <c r="Q214" s="6">
        <v>0.15</v>
      </c>
      <c r="R214">
        <v>364.65</v>
      </c>
      <c r="S214">
        <v>280.74</v>
      </c>
      <c r="T214">
        <v>83.91</v>
      </c>
      <c r="U214" t="s">
        <v>32</v>
      </c>
      <c r="V214" t="s">
        <v>33</v>
      </c>
      <c r="W214" s="8">
        <f t="shared" si="25"/>
        <v>0.15</v>
      </c>
      <c r="X214">
        <f t="shared" si="26"/>
        <v>364.65</v>
      </c>
      <c r="Y214">
        <f t="shared" si="27"/>
        <v>83.909999999999968</v>
      </c>
      <c r="Z214" s="8">
        <f t="shared" si="28"/>
        <v>0.23011106540518297</v>
      </c>
      <c r="AA214" t="str">
        <f t="shared" si="29"/>
        <v>September</v>
      </c>
      <c r="AB214">
        <f t="shared" si="30"/>
        <v>2024</v>
      </c>
      <c r="AC214" t="str">
        <f t="shared" si="31"/>
        <v>Clean</v>
      </c>
    </row>
    <row r="215" spans="1:29">
      <c r="A215" t="s">
        <v>745</v>
      </c>
      <c r="B215" s="2">
        <v>45427</v>
      </c>
      <c r="C215" s="2">
        <v>45433</v>
      </c>
      <c r="D215" s="3">
        <f t="shared" si="24"/>
        <v>6</v>
      </c>
      <c r="E215" t="s">
        <v>746</v>
      </c>
      <c r="F215" t="s">
        <v>47</v>
      </c>
      <c r="G21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747</v>
      </c>
      <c r="N215" t="s">
        <v>31</v>
      </c>
      <c r="O215">
        <v>4</v>
      </c>
      <c r="P215">
        <v>4332.7299999999996</v>
      </c>
      <c r="Q215" s="6">
        <v>0.2</v>
      </c>
      <c r="R215">
        <v>13864.74</v>
      </c>
      <c r="S215">
        <v>11294.06</v>
      </c>
      <c r="T215">
        <v>2570.6799999999998</v>
      </c>
      <c r="U215" t="s">
        <v>32</v>
      </c>
      <c r="V215" t="s">
        <v>33</v>
      </c>
      <c r="W215" s="8">
        <f t="shared" si="25"/>
        <v>0.2</v>
      </c>
      <c r="X215">
        <f t="shared" si="26"/>
        <v>13864.735999999999</v>
      </c>
      <c r="Y215">
        <f t="shared" si="27"/>
        <v>2570.6759999999995</v>
      </c>
      <c r="Z215" s="8">
        <f t="shared" si="28"/>
        <v>0.18541110339208763</v>
      </c>
      <c r="AA215" t="str">
        <f t="shared" si="29"/>
        <v>May</v>
      </c>
      <c r="AB215">
        <f t="shared" si="30"/>
        <v>2024</v>
      </c>
      <c r="AC215" t="str">
        <f t="shared" si="31"/>
        <v>Clean</v>
      </c>
    </row>
    <row r="216" spans="1:29">
      <c r="A216" t="s">
        <v>748</v>
      </c>
      <c r="B216" s="2">
        <v>45368</v>
      </c>
      <c r="C216" s="2">
        <v>45374</v>
      </c>
      <c r="D216" s="3">
        <f t="shared" si="24"/>
        <v>6</v>
      </c>
      <c r="E216" t="s">
        <v>749</v>
      </c>
      <c r="F216" t="s">
        <v>118</v>
      </c>
      <c r="G216" t="s">
        <v>24</v>
      </c>
      <c r="H216" t="s">
        <v>25</v>
      </c>
      <c r="I216" t="s">
        <v>236</v>
      </c>
      <c r="J216" t="s">
        <v>237</v>
      </c>
      <c r="K216" t="s">
        <v>74</v>
      </c>
      <c r="L216" t="s">
        <v>75</v>
      </c>
      <c r="M216" t="s">
        <v>750</v>
      </c>
      <c r="N216" t="s">
        <v>50</v>
      </c>
      <c r="O216">
        <v>3</v>
      </c>
      <c r="P216">
        <v>248.18</v>
      </c>
      <c r="Q216" s="6">
        <v>0.05</v>
      </c>
      <c r="R216">
        <v>707.31</v>
      </c>
      <c r="S216">
        <v>569</v>
      </c>
      <c r="T216">
        <v>138.31</v>
      </c>
      <c r="U216" t="s">
        <v>32</v>
      </c>
      <c r="V216" t="s">
        <v>33</v>
      </c>
      <c r="W216" s="8">
        <f t="shared" si="25"/>
        <v>0.05</v>
      </c>
      <c r="X216">
        <f t="shared" si="26"/>
        <v>707.31299999999999</v>
      </c>
      <c r="Y216">
        <f t="shared" si="27"/>
        <v>138.31299999999999</v>
      </c>
      <c r="Z216" s="8">
        <f t="shared" si="28"/>
        <v>0.19554709159876885</v>
      </c>
      <c r="AA216" t="str">
        <f t="shared" si="29"/>
        <v>March</v>
      </c>
      <c r="AB216">
        <f t="shared" si="30"/>
        <v>2024</v>
      </c>
      <c r="AC216" t="str">
        <f t="shared" si="31"/>
        <v>Clean</v>
      </c>
    </row>
    <row r="217" spans="1:29">
      <c r="A217" t="s">
        <v>751</v>
      </c>
      <c r="B217" s="2">
        <v>45294</v>
      </c>
      <c r="C217" s="2">
        <v>45355</v>
      </c>
      <c r="D217" s="3">
        <f t="shared" si="24"/>
        <v>61</v>
      </c>
      <c r="E217" t="s">
        <v>752</v>
      </c>
      <c r="F217" t="s">
        <v>36</v>
      </c>
      <c r="G217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753</v>
      </c>
      <c r="N217" t="s">
        <v>50</v>
      </c>
      <c r="O217">
        <v>8</v>
      </c>
      <c r="P217">
        <v>3202.4</v>
      </c>
      <c r="Q217" s="6">
        <v>0.25</v>
      </c>
      <c r="R217">
        <v>19214.400000000001</v>
      </c>
      <c r="S217">
        <v>10916.01</v>
      </c>
      <c r="T217">
        <v>8298.39</v>
      </c>
      <c r="U217" t="s">
        <v>32</v>
      </c>
      <c r="V217" t="s">
        <v>33</v>
      </c>
      <c r="W217" s="8">
        <f t="shared" si="25"/>
        <v>0.25</v>
      </c>
      <c r="X217">
        <f t="shared" si="26"/>
        <v>19214.400000000001</v>
      </c>
      <c r="Y217">
        <f t="shared" si="27"/>
        <v>8298.3900000000012</v>
      </c>
      <c r="Z217" s="8">
        <f t="shared" si="28"/>
        <v>0.43188389957531853</v>
      </c>
      <c r="AA217" t="str">
        <f t="shared" si="29"/>
        <v>January</v>
      </c>
      <c r="AB217">
        <f t="shared" si="30"/>
        <v>2024</v>
      </c>
      <c r="AC217" t="str">
        <f t="shared" si="31"/>
        <v>Clean</v>
      </c>
    </row>
    <row r="218" spans="1:29">
      <c r="A218" t="s">
        <v>754</v>
      </c>
      <c r="B218" s="2">
        <v>45757</v>
      </c>
      <c r="C218" s="2">
        <v>45762</v>
      </c>
      <c r="D218" s="3">
        <f t="shared" si="24"/>
        <v>5</v>
      </c>
      <c r="E218" t="s">
        <v>755</v>
      </c>
      <c r="F218" t="s">
        <v>47</v>
      </c>
      <c r="G218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756</v>
      </c>
      <c r="N218" t="s">
        <v>59</v>
      </c>
      <c r="O218">
        <v>8</v>
      </c>
      <c r="P218">
        <v>1839.87</v>
      </c>
      <c r="Q218" s="6">
        <v>0.25</v>
      </c>
      <c r="R218">
        <v>11039.22</v>
      </c>
      <c r="S218">
        <v>7642.91</v>
      </c>
      <c r="T218">
        <v>3396.31</v>
      </c>
      <c r="U218" t="s">
        <v>155</v>
      </c>
      <c r="V218" t="s">
        <v>103</v>
      </c>
      <c r="W218" s="8">
        <f t="shared" si="25"/>
        <v>0.25</v>
      </c>
      <c r="X218">
        <f t="shared" si="26"/>
        <v>11039.22</v>
      </c>
      <c r="Y218">
        <f t="shared" si="27"/>
        <v>3396.3099999999995</v>
      </c>
      <c r="Z218" s="8">
        <f t="shared" si="28"/>
        <v>0.30765851210502188</v>
      </c>
      <c r="AA218" t="str">
        <f t="shared" si="29"/>
        <v>April</v>
      </c>
      <c r="AB218">
        <f t="shared" si="30"/>
        <v>2025</v>
      </c>
      <c r="AC218" t="str">
        <f t="shared" si="31"/>
        <v>Clean</v>
      </c>
    </row>
    <row r="219" spans="1:29">
      <c r="A219" t="s">
        <v>757</v>
      </c>
      <c r="B219" s="2">
        <v>45661</v>
      </c>
      <c r="C219" s="2">
        <v>45755</v>
      </c>
      <c r="D219" s="3">
        <f t="shared" si="24"/>
        <v>94</v>
      </c>
      <c r="E219" t="s">
        <v>758</v>
      </c>
      <c r="F219" t="s">
        <v>89</v>
      </c>
      <c r="G219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759</v>
      </c>
      <c r="N219" t="s">
        <v>31</v>
      </c>
      <c r="O219">
        <v>5</v>
      </c>
      <c r="P219">
        <v>1021.28</v>
      </c>
      <c r="Q219" s="6">
        <v>0.1</v>
      </c>
      <c r="R219">
        <v>4595.76</v>
      </c>
      <c r="S219">
        <v>3396.8</v>
      </c>
      <c r="T219">
        <v>1198.96</v>
      </c>
      <c r="U219" t="s">
        <v>102</v>
      </c>
      <c r="V219" t="s">
        <v>68</v>
      </c>
      <c r="W219" s="8">
        <f t="shared" si="25"/>
        <v>0.1</v>
      </c>
      <c r="X219">
        <f t="shared" si="26"/>
        <v>4595.76</v>
      </c>
      <c r="Y219">
        <f t="shared" si="27"/>
        <v>1198.96</v>
      </c>
      <c r="Z219" s="8">
        <f t="shared" si="28"/>
        <v>0.26088394520166414</v>
      </c>
      <c r="AA219" t="str">
        <f t="shared" si="29"/>
        <v>January</v>
      </c>
      <c r="AB219">
        <f t="shared" si="30"/>
        <v>2025</v>
      </c>
      <c r="AC219" t="str">
        <f t="shared" si="31"/>
        <v>Clean</v>
      </c>
    </row>
    <row r="220" spans="1:29">
      <c r="A220" t="s">
        <v>760</v>
      </c>
      <c r="B220" s="2">
        <v>45714</v>
      </c>
      <c r="C220" s="2">
        <v>45715</v>
      </c>
      <c r="D220" s="3">
        <f t="shared" si="24"/>
        <v>1</v>
      </c>
      <c r="E220" t="s">
        <v>761</v>
      </c>
      <c r="F220" t="s">
        <v>114</v>
      </c>
      <c r="G220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762</v>
      </c>
      <c r="N220" t="s">
        <v>59</v>
      </c>
      <c r="O220">
        <v>5</v>
      </c>
      <c r="P220">
        <v>258.27999999999997</v>
      </c>
      <c r="Q220" s="7">
        <v>0</v>
      </c>
      <c r="R220">
        <v>1291.4000000000001</v>
      </c>
      <c r="S220">
        <v>756.93</v>
      </c>
      <c r="T220">
        <v>534.47</v>
      </c>
      <c r="U220" t="s">
        <v>32</v>
      </c>
      <c r="V220" t="s">
        <v>33</v>
      </c>
      <c r="W220" s="8">
        <f t="shared" si="25"/>
        <v>0</v>
      </c>
      <c r="X220">
        <f t="shared" si="26"/>
        <v>1291.3999999999999</v>
      </c>
      <c r="Y220">
        <f t="shared" si="27"/>
        <v>534.46999999999991</v>
      </c>
      <c r="Z220" s="8">
        <f t="shared" si="28"/>
        <v>0.41386866966083319</v>
      </c>
      <c r="AA220" t="str">
        <f t="shared" si="29"/>
        <v>February</v>
      </c>
      <c r="AB220">
        <f t="shared" si="30"/>
        <v>2025</v>
      </c>
      <c r="AC220" t="str">
        <f t="shared" si="31"/>
        <v>Clean</v>
      </c>
    </row>
    <row r="221" spans="1:29">
      <c r="A221" t="s">
        <v>763</v>
      </c>
      <c r="B221" s="2">
        <v>45461</v>
      </c>
      <c r="C221" s="2">
        <v>45462</v>
      </c>
      <c r="D221" s="3">
        <f t="shared" si="24"/>
        <v>1</v>
      </c>
      <c r="E221" t="s">
        <v>764</v>
      </c>
      <c r="F221" t="s">
        <v>118</v>
      </c>
      <c r="G221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274</v>
      </c>
      <c r="M221" t="s">
        <v>765</v>
      </c>
      <c r="N221" t="s">
        <v>50</v>
      </c>
      <c r="O221">
        <v>2</v>
      </c>
      <c r="P221">
        <v>121.49</v>
      </c>
      <c r="Q221" s="6">
        <v>0.85</v>
      </c>
      <c r="R221">
        <v>242.98</v>
      </c>
      <c r="S221">
        <v>161.41999999999999</v>
      </c>
      <c r="T221">
        <v>81.56</v>
      </c>
      <c r="U221" t="s">
        <v>32</v>
      </c>
      <c r="V221" t="s">
        <v>33</v>
      </c>
      <c r="W221" s="8">
        <f t="shared" si="25"/>
        <v>0.85</v>
      </c>
      <c r="X221">
        <f t="shared" si="26"/>
        <v>36.447000000000003</v>
      </c>
      <c r="Y221">
        <f t="shared" si="27"/>
        <v>-124.97299999999998</v>
      </c>
      <c r="Z221" s="8">
        <f t="shared" si="28"/>
        <v>-3.4288967541910162</v>
      </c>
      <c r="AA221" t="str">
        <f t="shared" si="29"/>
        <v>June</v>
      </c>
      <c r="AB221">
        <f t="shared" si="30"/>
        <v>2024</v>
      </c>
      <c r="AC221" t="str">
        <f t="shared" si="31"/>
        <v>Clean</v>
      </c>
    </row>
    <row r="222" spans="1:29">
      <c r="A222" t="s">
        <v>766</v>
      </c>
      <c r="B222" s="2">
        <v>45538</v>
      </c>
      <c r="C222" s="2">
        <v>45538</v>
      </c>
      <c r="D222" s="3">
        <f t="shared" si="24"/>
        <v>0</v>
      </c>
      <c r="E222" t="s">
        <v>767</v>
      </c>
      <c r="F222" t="s">
        <v>132</v>
      </c>
      <c r="G222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768</v>
      </c>
      <c r="N222" t="s">
        <v>50</v>
      </c>
      <c r="O222">
        <v>4</v>
      </c>
      <c r="P222">
        <v>2810.17</v>
      </c>
      <c r="Q222" s="6">
        <v>0.15</v>
      </c>
      <c r="R222">
        <v>9554.58</v>
      </c>
      <c r="S222">
        <v>6068.47</v>
      </c>
      <c r="T222">
        <v>3486.11</v>
      </c>
      <c r="U222" t="s">
        <v>102</v>
      </c>
      <c r="V222" t="s">
        <v>68</v>
      </c>
      <c r="W222" s="8">
        <f t="shared" si="25"/>
        <v>0.15</v>
      </c>
      <c r="X222">
        <f t="shared" si="26"/>
        <v>9554.5779999999995</v>
      </c>
      <c r="Y222">
        <f t="shared" si="27"/>
        <v>3486.1079999999993</v>
      </c>
      <c r="Z222" s="8">
        <f t="shared" si="28"/>
        <v>0.36486258210462036</v>
      </c>
      <c r="AA222" t="str">
        <f t="shared" si="29"/>
        <v>September</v>
      </c>
      <c r="AB222">
        <f t="shared" si="30"/>
        <v>2024</v>
      </c>
      <c r="AC222" t="str">
        <f t="shared" si="31"/>
        <v>Clean</v>
      </c>
    </row>
    <row r="223" spans="1:29">
      <c r="A223" t="s">
        <v>769</v>
      </c>
      <c r="B223" s="2">
        <v>45992</v>
      </c>
      <c r="C223" s="2">
        <v>45672</v>
      </c>
      <c r="D223" s="5">
        <f t="shared" si="24"/>
        <v>-320</v>
      </c>
      <c r="E223" t="s">
        <v>770</v>
      </c>
      <c r="F223" t="s">
        <v>36</v>
      </c>
      <c r="G223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771</v>
      </c>
      <c r="N223" t="s">
        <v>44</v>
      </c>
      <c r="O223">
        <v>4</v>
      </c>
      <c r="P223">
        <v>1531.53</v>
      </c>
      <c r="Q223" s="6">
        <v>0.2</v>
      </c>
      <c r="R223">
        <v>4900.8999999999996</v>
      </c>
      <c r="S223">
        <v>3552.69</v>
      </c>
      <c r="T223">
        <v>1348.21</v>
      </c>
      <c r="U223" t="s">
        <v>32</v>
      </c>
      <c r="V223" t="s">
        <v>33</v>
      </c>
      <c r="W223" s="8">
        <f t="shared" si="25"/>
        <v>0.2</v>
      </c>
      <c r="X223">
        <f t="shared" si="26"/>
        <v>4900.8959999999997</v>
      </c>
      <c r="Y223">
        <f t="shared" si="27"/>
        <v>1348.2059999999997</v>
      </c>
      <c r="Z223" s="8">
        <f t="shared" si="28"/>
        <v>0.27509377877024932</v>
      </c>
      <c r="AA223" t="str">
        <f t="shared" si="29"/>
        <v>December</v>
      </c>
      <c r="AB223">
        <f t="shared" si="30"/>
        <v>2025</v>
      </c>
      <c r="AC223" t="str">
        <f t="shared" si="31"/>
        <v>Warning</v>
      </c>
    </row>
    <row r="224" spans="1:29">
      <c r="A224" t="s">
        <v>772</v>
      </c>
      <c r="B224" s="2">
        <v>45776</v>
      </c>
      <c r="C224" s="2">
        <v>45779</v>
      </c>
      <c r="D224" s="3">
        <f t="shared" si="24"/>
        <v>3</v>
      </c>
      <c r="E224" t="s">
        <v>773</v>
      </c>
      <c r="F224" t="s">
        <v>71</v>
      </c>
      <c r="G224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774</v>
      </c>
      <c r="N224" t="s">
        <v>50</v>
      </c>
      <c r="O224">
        <v>6</v>
      </c>
      <c r="P224">
        <v>4308.09</v>
      </c>
      <c r="Q224" s="7">
        <v>0</v>
      </c>
      <c r="R224">
        <v>25848.54</v>
      </c>
      <c r="S224">
        <v>17729.09</v>
      </c>
      <c r="T224">
        <v>8119.45</v>
      </c>
      <c r="U224" t="s">
        <v>32</v>
      </c>
      <c r="V224" t="s">
        <v>33</v>
      </c>
      <c r="W224" s="8">
        <f t="shared" si="25"/>
        <v>0</v>
      </c>
      <c r="X224">
        <f t="shared" si="26"/>
        <v>25848.54</v>
      </c>
      <c r="Y224">
        <f t="shared" si="27"/>
        <v>8119.4500000000007</v>
      </c>
      <c r="Z224" s="8">
        <f t="shared" si="28"/>
        <v>0.31411638723115504</v>
      </c>
      <c r="AA224" t="str">
        <f t="shared" si="29"/>
        <v>April</v>
      </c>
      <c r="AB224">
        <f t="shared" si="30"/>
        <v>2025</v>
      </c>
      <c r="AC224" t="str">
        <f t="shared" si="31"/>
        <v>Clean</v>
      </c>
    </row>
    <row r="225" spans="1:29">
      <c r="A225" t="s">
        <v>775</v>
      </c>
      <c r="B225" s="2">
        <v>45707</v>
      </c>
      <c r="C225" s="2">
        <v>45714</v>
      </c>
      <c r="D225" s="3">
        <f t="shared" si="24"/>
        <v>7</v>
      </c>
      <c r="E225" t="s">
        <v>776</v>
      </c>
      <c r="F225" t="s">
        <v>36</v>
      </c>
      <c r="G22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777</v>
      </c>
      <c r="N225" t="s">
        <v>50</v>
      </c>
      <c r="O225">
        <v>3</v>
      </c>
      <c r="P225">
        <v>490.3</v>
      </c>
      <c r="Q225" s="6">
        <v>0.2</v>
      </c>
      <c r="R225">
        <v>1176.72</v>
      </c>
      <c r="S225">
        <v>654.33000000000004</v>
      </c>
      <c r="T225">
        <v>522.39</v>
      </c>
      <c r="U225" t="s">
        <v>111</v>
      </c>
      <c r="V225" t="s">
        <v>103</v>
      </c>
      <c r="W225" s="8">
        <f t="shared" si="25"/>
        <v>0.2</v>
      </c>
      <c r="X225">
        <f t="shared" si="26"/>
        <v>1176.72</v>
      </c>
      <c r="Y225">
        <f t="shared" si="27"/>
        <v>522.39</v>
      </c>
      <c r="Z225" s="8">
        <f t="shared" si="28"/>
        <v>0.44393738527432181</v>
      </c>
      <c r="AA225" t="str">
        <f t="shared" si="29"/>
        <v>February</v>
      </c>
      <c r="AB225">
        <f t="shared" si="30"/>
        <v>2025</v>
      </c>
      <c r="AC225" t="str">
        <f t="shared" si="31"/>
        <v>Clean</v>
      </c>
    </row>
    <row r="226" spans="1:29">
      <c r="A226" s="4" t="s">
        <v>778</v>
      </c>
      <c r="B226" s="2">
        <v>45932</v>
      </c>
      <c r="C226" s="2">
        <v>45938</v>
      </c>
      <c r="D226" s="3">
        <f t="shared" si="24"/>
        <v>6</v>
      </c>
      <c r="E226" t="s">
        <v>779</v>
      </c>
      <c r="F226" t="s">
        <v>47</v>
      </c>
      <c r="G226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780</v>
      </c>
      <c r="N226" t="s">
        <v>59</v>
      </c>
      <c r="O226">
        <v>4</v>
      </c>
      <c r="P226">
        <v>3944.64</v>
      </c>
      <c r="Q226" s="6">
        <v>0.25</v>
      </c>
      <c r="R226">
        <v>11833.92</v>
      </c>
      <c r="S226">
        <v>6682.92</v>
      </c>
      <c r="T226">
        <v>5151</v>
      </c>
      <c r="U226" t="s">
        <v>32</v>
      </c>
      <c r="V226" t="s">
        <v>68</v>
      </c>
      <c r="W226" s="8">
        <f t="shared" si="25"/>
        <v>0.25</v>
      </c>
      <c r="X226">
        <f t="shared" si="26"/>
        <v>11833.92</v>
      </c>
      <c r="Y226">
        <f t="shared" si="27"/>
        <v>5151</v>
      </c>
      <c r="Z226" s="8">
        <f t="shared" si="28"/>
        <v>0.43527419485681834</v>
      </c>
      <c r="AA226" t="str">
        <f t="shared" si="29"/>
        <v>October</v>
      </c>
      <c r="AB226">
        <f t="shared" si="30"/>
        <v>2025</v>
      </c>
      <c r="AC226" t="str">
        <f t="shared" si="31"/>
        <v>Clean</v>
      </c>
    </row>
    <row r="227" spans="1:29">
      <c r="A227" t="s">
        <v>781</v>
      </c>
      <c r="B227" s="2">
        <v>45537</v>
      </c>
      <c r="C227" s="2">
        <v>45545</v>
      </c>
      <c r="D227" s="3">
        <f t="shared" si="24"/>
        <v>8</v>
      </c>
      <c r="E227" t="s">
        <v>782</v>
      </c>
      <c r="F227" t="s">
        <v>36</v>
      </c>
      <c r="G227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783</v>
      </c>
      <c r="N227" t="s">
        <v>59</v>
      </c>
      <c r="O227">
        <v>6</v>
      </c>
      <c r="P227">
        <v>1032.47</v>
      </c>
      <c r="Q227" s="6">
        <v>0.15</v>
      </c>
      <c r="R227">
        <v>5265.6</v>
      </c>
      <c r="S227">
        <v>4293.1099999999997</v>
      </c>
      <c r="T227">
        <v>787.57</v>
      </c>
      <c r="U227" t="s">
        <v>32</v>
      </c>
      <c r="V227" t="s">
        <v>33</v>
      </c>
      <c r="W227" s="8">
        <f t="shared" si="25"/>
        <v>0.15</v>
      </c>
      <c r="X227">
        <f t="shared" si="26"/>
        <v>5265.5969999999998</v>
      </c>
      <c r="Y227">
        <f t="shared" si="27"/>
        <v>972.48700000000008</v>
      </c>
      <c r="Z227" s="8">
        <f t="shared" si="28"/>
        <v>0.18468694053114967</v>
      </c>
      <c r="AA227" t="str">
        <f t="shared" si="29"/>
        <v>September</v>
      </c>
      <c r="AB227">
        <f t="shared" si="30"/>
        <v>2024</v>
      </c>
      <c r="AC227" t="str">
        <f t="shared" si="31"/>
        <v>Clean</v>
      </c>
    </row>
    <row r="228" spans="1:29">
      <c r="A228" t="s">
        <v>784</v>
      </c>
      <c r="B228" s="2">
        <v>45934</v>
      </c>
      <c r="C228" s="2">
        <v>45762</v>
      </c>
      <c r="D228" s="5">
        <f t="shared" si="24"/>
        <v>-172</v>
      </c>
      <c r="E228" t="s">
        <v>785</v>
      </c>
      <c r="F228" t="s">
        <v>162</v>
      </c>
      <c r="G228" t="s">
        <v>95</v>
      </c>
      <c r="H228" s="4" t="s">
        <v>2760</v>
      </c>
      <c r="I228" t="s">
        <v>185</v>
      </c>
      <c r="J228" t="s">
        <v>186</v>
      </c>
      <c r="K228" t="s">
        <v>74</v>
      </c>
      <c r="L228" t="s">
        <v>80</v>
      </c>
      <c r="M228" t="s">
        <v>786</v>
      </c>
      <c r="N228" t="s">
        <v>44</v>
      </c>
      <c r="O228">
        <v>1</v>
      </c>
      <c r="P228">
        <v>2208.27</v>
      </c>
      <c r="Q228" s="6">
        <v>0.1</v>
      </c>
      <c r="R228">
        <v>1987.44</v>
      </c>
      <c r="S228">
        <v>1110.23</v>
      </c>
      <c r="T228">
        <v>877.21</v>
      </c>
      <c r="U228" t="s">
        <v>32</v>
      </c>
      <c r="V228" t="s">
        <v>33</v>
      </c>
      <c r="W228" s="8">
        <f t="shared" si="25"/>
        <v>0.1</v>
      </c>
      <c r="X228">
        <f t="shared" si="26"/>
        <v>1987.443</v>
      </c>
      <c r="Y228">
        <f t="shared" si="27"/>
        <v>877.21299999999997</v>
      </c>
      <c r="Z228" s="8">
        <f t="shared" si="28"/>
        <v>0.44137768982556985</v>
      </c>
      <c r="AA228" t="str">
        <f t="shared" si="29"/>
        <v>October</v>
      </c>
      <c r="AB228">
        <f t="shared" si="30"/>
        <v>2025</v>
      </c>
      <c r="AC228" t="str">
        <f t="shared" si="31"/>
        <v>Warning</v>
      </c>
    </row>
    <row r="229" spans="1:29">
      <c r="A229" t="s">
        <v>787</v>
      </c>
      <c r="B229" s="2">
        <v>45478</v>
      </c>
      <c r="C229" s="2">
        <v>45485</v>
      </c>
      <c r="D229" s="3">
        <f t="shared" si="24"/>
        <v>7</v>
      </c>
      <c r="E229" t="s">
        <v>788</v>
      </c>
      <c r="F229" t="s">
        <v>62</v>
      </c>
      <c r="G229" t="s">
        <v>37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789</v>
      </c>
      <c r="N229" t="s">
        <v>50</v>
      </c>
      <c r="O229">
        <v>3</v>
      </c>
      <c r="P229">
        <v>577.75</v>
      </c>
      <c r="Q229" s="6">
        <v>0.15</v>
      </c>
      <c r="R229">
        <v>1473.26</v>
      </c>
      <c r="S229">
        <v>899.86</v>
      </c>
      <c r="T229">
        <v>573.4</v>
      </c>
      <c r="U229" t="s">
        <v>32</v>
      </c>
      <c r="V229" t="s">
        <v>33</v>
      </c>
      <c r="W229" s="8">
        <f t="shared" si="25"/>
        <v>0.15</v>
      </c>
      <c r="X229">
        <f t="shared" si="26"/>
        <v>1473.2625</v>
      </c>
      <c r="Y229">
        <f t="shared" si="27"/>
        <v>573.40250000000003</v>
      </c>
      <c r="Z229" s="8">
        <f t="shared" si="28"/>
        <v>0.38920592901808065</v>
      </c>
      <c r="AA229" t="str">
        <f t="shared" si="29"/>
        <v>July</v>
      </c>
      <c r="AB229">
        <f t="shared" si="30"/>
        <v>2024</v>
      </c>
      <c r="AC229" t="str">
        <f t="shared" si="31"/>
        <v>Clean</v>
      </c>
    </row>
    <row r="230" spans="1:29">
      <c r="A230" t="s">
        <v>790</v>
      </c>
      <c r="B230" s="2">
        <v>45406</v>
      </c>
      <c r="C230" s="2">
        <v>45410</v>
      </c>
      <c r="D230" s="3">
        <f t="shared" si="24"/>
        <v>4</v>
      </c>
      <c r="E230" t="s">
        <v>791</v>
      </c>
      <c r="F230" t="s">
        <v>23</v>
      </c>
      <c r="G230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792</v>
      </c>
      <c r="N230" t="s">
        <v>31</v>
      </c>
      <c r="O230">
        <v>1</v>
      </c>
      <c r="P230">
        <v>3194.37</v>
      </c>
      <c r="Q230" s="6">
        <v>0.15</v>
      </c>
      <c r="R230">
        <v>2715.21</v>
      </c>
      <c r="S230">
        <v>1551.55</v>
      </c>
      <c r="T230">
        <v>1163.6600000000001</v>
      </c>
      <c r="U230" t="s">
        <v>32</v>
      </c>
      <c r="V230" t="s">
        <v>33</v>
      </c>
      <c r="W230" s="8">
        <f t="shared" si="25"/>
        <v>0.15</v>
      </c>
      <c r="X230">
        <f t="shared" si="26"/>
        <v>2715.2145</v>
      </c>
      <c r="Y230">
        <f t="shared" si="27"/>
        <v>1163.6645000000001</v>
      </c>
      <c r="Z230" s="8">
        <f t="shared" si="28"/>
        <v>0.42857184948003191</v>
      </c>
      <c r="AA230" t="str">
        <f t="shared" si="29"/>
        <v>April</v>
      </c>
      <c r="AB230">
        <f t="shared" si="30"/>
        <v>2024</v>
      </c>
      <c r="AC230" t="str">
        <f t="shared" si="31"/>
        <v>Clean</v>
      </c>
    </row>
    <row r="231" spans="1:29">
      <c r="A231" t="s">
        <v>793</v>
      </c>
      <c r="B231" s="2">
        <v>45836</v>
      </c>
      <c r="C231" s="2">
        <v>45842</v>
      </c>
      <c r="D231" s="3">
        <f t="shared" si="24"/>
        <v>6</v>
      </c>
      <c r="E231" t="s">
        <v>794</v>
      </c>
      <c r="F231" t="s">
        <v>141</v>
      </c>
      <c r="G231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795</v>
      </c>
      <c r="N231" t="s">
        <v>50</v>
      </c>
      <c r="O231">
        <v>3</v>
      </c>
      <c r="P231">
        <v>2886.23</v>
      </c>
      <c r="Q231" s="7">
        <v>0</v>
      </c>
      <c r="R231">
        <v>8658.69</v>
      </c>
      <c r="S231">
        <v>5535.94</v>
      </c>
      <c r="T231">
        <v>3122.75</v>
      </c>
      <c r="U231" t="s">
        <v>102</v>
      </c>
      <c r="V231" t="s">
        <v>103</v>
      </c>
      <c r="W231" s="8">
        <f t="shared" si="25"/>
        <v>0</v>
      </c>
      <c r="X231">
        <f t="shared" si="26"/>
        <v>8658.69</v>
      </c>
      <c r="Y231">
        <f t="shared" si="27"/>
        <v>3122.7500000000009</v>
      </c>
      <c r="Z231" s="8">
        <f t="shared" si="28"/>
        <v>0.36064924370776652</v>
      </c>
      <c r="AA231" t="str">
        <f t="shared" si="29"/>
        <v>June</v>
      </c>
      <c r="AB231">
        <f t="shared" si="30"/>
        <v>2025</v>
      </c>
      <c r="AC231" t="str">
        <f t="shared" si="31"/>
        <v>Clean</v>
      </c>
    </row>
    <row r="232" spans="1:29">
      <c r="A232" t="s">
        <v>796</v>
      </c>
      <c r="B232" s="2">
        <v>45440</v>
      </c>
      <c r="C232" s="2">
        <v>45357</v>
      </c>
      <c r="D232" s="5">
        <f t="shared" si="24"/>
        <v>-83</v>
      </c>
      <c r="E232" t="s">
        <v>797</v>
      </c>
      <c r="F232" t="s">
        <v>79</v>
      </c>
      <c r="G232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798</v>
      </c>
      <c r="N232" t="s">
        <v>59</v>
      </c>
      <c r="O232">
        <v>8</v>
      </c>
      <c r="P232">
        <v>1540.33</v>
      </c>
      <c r="Q232" s="6">
        <v>0.1</v>
      </c>
      <c r="R232">
        <v>11090.38</v>
      </c>
      <c r="S232">
        <v>8840.9500000000007</v>
      </c>
      <c r="T232">
        <v>2249.4299999999998</v>
      </c>
      <c r="U232" t="s">
        <v>32</v>
      </c>
      <c r="V232" t="s">
        <v>33</v>
      </c>
      <c r="W232" s="8">
        <f t="shared" si="25"/>
        <v>0.1</v>
      </c>
      <c r="X232">
        <f t="shared" si="26"/>
        <v>11090.376</v>
      </c>
      <c r="Y232">
        <f t="shared" si="27"/>
        <v>2249.4259999999995</v>
      </c>
      <c r="Z232" s="8">
        <f t="shared" si="28"/>
        <v>0.20282684734944958</v>
      </c>
      <c r="AA232" t="str">
        <f t="shared" si="29"/>
        <v>May</v>
      </c>
      <c r="AB232">
        <f t="shared" si="30"/>
        <v>2024</v>
      </c>
      <c r="AC232" t="str">
        <f t="shared" si="31"/>
        <v>Warning</v>
      </c>
    </row>
    <row r="233" spans="1:29">
      <c r="A233" t="s">
        <v>799</v>
      </c>
      <c r="B233" s="2">
        <v>45414</v>
      </c>
      <c r="C233" s="2">
        <v>45414</v>
      </c>
      <c r="D233" s="3">
        <f t="shared" si="24"/>
        <v>0</v>
      </c>
      <c r="E233" t="s">
        <v>800</v>
      </c>
      <c r="F233" t="s">
        <v>62</v>
      </c>
      <c r="G233" t="s">
        <v>90</v>
      </c>
      <c r="H233" t="s">
        <v>25</v>
      </c>
      <c r="I233" t="s">
        <v>26</v>
      </c>
      <c r="J233" t="s">
        <v>27</v>
      </c>
      <c r="K233" t="s">
        <v>28</v>
      </c>
      <c r="L233" t="s">
        <v>91</v>
      </c>
      <c r="M233" t="s">
        <v>801</v>
      </c>
      <c r="N233" t="s">
        <v>50</v>
      </c>
      <c r="O233">
        <v>7</v>
      </c>
      <c r="P233">
        <v>2183.38</v>
      </c>
      <c r="Q233" s="6">
        <v>0.25</v>
      </c>
      <c r="R233">
        <v>11462.74</v>
      </c>
      <c r="S233">
        <v>7163.54</v>
      </c>
      <c r="T233">
        <v>4299.2</v>
      </c>
      <c r="U233" t="s">
        <v>102</v>
      </c>
      <c r="V233" t="s">
        <v>68</v>
      </c>
      <c r="W233" s="8">
        <f t="shared" si="25"/>
        <v>0.25</v>
      </c>
      <c r="X233">
        <f t="shared" si="26"/>
        <v>11462.744999999999</v>
      </c>
      <c r="Y233">
        <f t="shared" si="27"/>
        <v>4299.204999999999</v>
      </c>
      <c r="Z233" s="8">
        <f t="shared" si="28"/>
        <v>0.37505894094302888</v>
      </c>
      <c r="AA233" t="str">
        <f t="shared" si="29"/>
        <v>May</v>
      </c>
      <c r="AB233">
        <f t="shared" si="30"/>
        <v>2024</v>
      </c>
      <c r="AC233" t="str">
        <f t="shared" si="31"/>
        <v>Clean</v>
      </c>
    </row>
    <row r="234" spans="1:29">
      <c r="A234" t="s">
        <v>802</v>
      </c>
      <c r="B234" s="2">
        <v>45812</v>
      </c>
      <c r="C234" s="2">
        <v>45818</v>
      </c>
      <c r="D234" s="3">
        <f t="shared" si="24"/>
        <v>6</v>
      </c>
      <c r="E234" t="s">
        <v>803</v>
      </c>
      <c r="F234" t="s">
        <v>118</v>
      </c>
      <c r="G234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804</v>
      </c>
      <c r="N234" t="s">
        <v>59</v>
      </c>
      <c r="O234">
        <v>4</v>
      </c>
      <c r="P234">
        <v>223.37</v>
      </c>
      <c r="Q234" s="6">
        <v>0.25</v>
      </c>
      <c r="R234">
        <v>670.11</v>
      </c>
      <c r="S234">
        <v>559.57000000000005</v>
      </c>
      <c r="T234">
        <v>110.54</v>
      </c>
      <c r="U234" t="s">
        <v>32</v>
      </c>
      <c r="V234" t="s">
        <v>33</v>
      </c>
      <c r="W234" s="8">
        <f t="shared" si="25"/>
        <v>0.25</v>
      </c>
      <c r="X234">
        <f t="shared" si="26"/>
        <v>670.11</v>
      </c>
      <c r="Y234">
        <f t="shared" si="27"/>
        <v>110.53999999999996</v>
      </c>
      <c r="Z234" s="8">
        <f t="shared" si="28"/>
        <v>0.16495799197146732</v>
      </c>
      <c r="AA234" t="str">
        <f t="shared" si="29"/>
        <v>June</v>
      </c>
      <c r="AB234">
        <f t="shared" si="30"/>
        <v>2025</v>
      </c>
      <c r="AC234" t="str">
        <f t="shared" si="31"/>
        <v>Clean</v>
      </c>
    </row>
    <row r="235" spans="1:29">
      <c r="A235" t="s">
        <v>805</v>
      </c>
      <c r="B235" s="2">
        <v>45579</v>
      </c>
      <c r="C235" s="2">
        <v>45579</v>
      </c>
      <c r="D235" s="3">
        <f t="shared" si="24"/>
        <v>0</v>
      </c>
      <c r="E235" t="s">
        <v>806</v>
      </c>
      <c r="F235" t="s">
        <v>71</v>
      </c>
      <c r="G23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807</v>
      </c>
      <c r="N235" s="4" t="s">
        <v>2760</v>
      </c>
      <c r="O235">
        <v>8</v>
      </c>
      <c r="P235">
        <v>3904.59</v>
      </c>
      <c r="Q235" s="7">
        <v>0</v>
      </c>
      <c r="R235">
        <v>31236.720000000001</v>
      </c>
      <c r="S235">
        <v>26377.7</v>
      </c>
      <c r="T235">
        <v>4859.0200000000004</v>
      </c>
      <c r="U235" t="s">
        <v>32</v>
      </c>
      <c r="V235" t="s">
        <v>33</v>
      </c>
      <c r="W235" s="8">
        <f t="shared" si="25"/>
        <v>0</v>
      </c>
      <c r="X235">
        <f t="shared" si="26"/>
        <v>31236.720000000001</v>
      </c>
      <c r="Y235">
        <f t="shared" si="27"/>
        <v>4859.0200000000004</v>
      </c>
      <c r="Z235" s="8">
        <f t="shared" si="28"/>
        <v>0.15555474454424154</v>
      </c>
      <c r="AA235" t="str">
        <f t="shared" si="29"/>
        <v>October</v>
      </c>
      <c r="AB235">
        <f t="shared" si="30"/>
        <v>2024</v>
      </c>
      <c r="AC235" t="str">
        <f t="shared" si="31"/>
        <v>Clean</v>
      </c>
    </row>
    <row r="236" spans="1:29">
      <c r="A236" t="s">
        <v>808</v>
      </c>
      <c r="B236" s="2">
        <v>45537</v>
      </c>
      <c r="C236" s="2">
        <v>45538</v>
      </c>
      <c r="D236" s="3">
        <f t="shared" si="24"/>
        <v>1</v>
      </c>
      <c r="E236" t="s">
        <v>809</v>
      </c>
      <c r="F236" t="s">
        <v>264</v>
      </c>
      <c r="G236" t="s">
        <v>95</v>
      </c>
      <c r="H236" t="s">
        <v>25</v>
      </c>
      <c r="I236" t="s">
        <v>350</v>
      </c>
      <c r="J236" t="s">
        <v>351</v>
      </c>
      <c r="K236" t="s">
        <v>41</v>
      </c>
      <c r="L236" t="s">
        <v>57</v>
      </c>
      <c r="M236" t="s">
        <v>810</v>
      </c>
      <c r="N236" t="s">
        <v>50</v>
      </c>
      <c r="O236">
        <v>9</v>
      </c>
      <c r="P236">
        <v>1353.61</v>
      </c>
      <c r="Q236" s="6">
        <v>0.1</v>
      </c>
      <c r="R236">
        <v>10964.24</v>
      </c>
      <c r="S236">
        <v>9262.4699999999993</v>
      </c>
      <c r="T236">
        <v>1701.77</v>
      </c>
      <c r="U236" t="s">
        <v>32</v>
      </c>
      <c r="V236" t="s">
        <v>33</v>
      </c>
      <c r="W236" s="8">
        <f t="shared" si="25"/>
        <v>0.1</v>
      </c>
      <c r="X236">
        <f t="shared" si="26"/>
        <v>10964.241</v>
      </c>
      <c r="Y236">
        <f t="shared" si="27"/>
        <v>1701.7710000000006</v>
      </c>
      <c r="Z236" s="8">
        <f t="shared" si="28"/>
        <v>0.15521101734265058</v>
      </c>
      <c r="AA236" t="str">
        <f t="shared" si="29"/>
        <v>September</v>
      </c>
      <c r="AB236">
        <f t="shared" si="30"/>
        <v>2024</v>
      </c>
      <c r="AC236" t="str">
        <f t="shared" si="31"/>
        <v>Clean</v>
      </c>
    </row>
    <row r="237" spans="1:29">
      <c r="A237" t="s">
        <v>811</v>
      </c>
      <c r="B237" s="2">
        <v>45598</v>
      </c>
      <c r="C237" s="2">
        <v>45599</v>
      </c>
      <c r="D237" s="3">
        <f t="shared" si="24"/>
        <v>1</v>
      </c>
      <c r="E237" t="s">
        <v>812</v>
      </c>
      <c r="F237" t="s">
        <v>118</v>
      </c>
      <c r="G237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813</v>
      </c>
      <c r="N237" t="s">
        <v>59</v>
      </c>
      <c r="O237">
        <v>6</v>
      </c>
      <c r="P237">
        <v>2671.29</v>
      </c>
      <c r="Q237" s="6">
        <v>0.05</v>
      </c>
      <c r="R237">
        <v>15226.35</v>
      </c>
      <c r="S237">
        <v>11145.28</v>
      </c>
      <c r="T237">
        <v>4081.07</v>
      </c>
      <c r="U237" t="s">
        <v>32</v>
      </c>
      <c r="V237" t="s">
        <v>33</v>
      </c>
      <c r="W237" s="8">
        <f t="shared" si="25"/>
        <v>0.05</v>
      </c>
      <c r="X237">
        <f t="shared" si="26"/>
        <v>15226.352999999999</v>
      </c>
      <c r="Y237">
        <f t="shared" si="27"/>
        <v>4081.0729999999985</v>
      </c>
      <c r="Z237" s="8">
        <f t="shared" si="28"/>
        <v>0.26802695300706603</v>
      </c>
      <c r="AA237" t="str">
        <f t="shared" si="29"/>
        <v>November</v>
      </c>
      <c r="AB237">
        <f t="shared" si="30"/>
        <v>2024</v>
      </c>
      <c r="AC237" t="str">
        <f t="shared" si="31"/>
        <v>Clean</v>
      </c>
    </row>
    <row r="238" spans="1:29">
      <c r="A238" t="s">
        <v>814</v>
      </c>
      <c r="B238" s="2">
        <v>45579</v>
      </c>
      <c r="C238" s="2">
        <v>45586</v>
      </c>
      <c r="D238" s="3">
        <f t="shared" si="24"/>
        <v>7</v>
      </c>
      <c r="E238" t="s">
        <v>815</v>
      </c>
      <c r="F238" t="s">
        <v>114</v>
      </c>
      <c r="G238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816</v>
      </c>
      <c r="N238" t="s">
        <v>50</v>
      </c>
      <c r="O238">
        <v>6</v>
      </c>
      <c r="P238">
        <v>4062.78</v>
      </c>
      <c r="Q238" s="7">
        <v>0</v>
      </c>
      <c r="R238">
        <v>24376.68</v>
      </c>
      <c r="S238">
        <v>18533.39</v>
      </c>
      <c r="T238">
        <v>5843.29</v>
      </c>
      <c r="U238" t="s">
        <v>32</v>
      </c>
      <c r="V238" t="s">
        <v>33</v>
      </c>
      <c r="W238" s="8">
        <f t="shared" si="25"/>
        <v>0</v>
      </c>
      <c r="X238">
        <f t="shared" si="26"/>
        <v>24376.68</v>
      </c>
      <c r="Y238">
        <f t="shared" si="27"/>
        <v>5843.2900000000009</v>
      </c>
      <c r="Z238" s="8">
        <f t="shared" si="28"/>
        <v>0.23970819652224998</v>
      </c>
      <c r="AA238" t="str">
        <f t="shared" si="29"/>
        <v>October</v>
      </c>
      <c r="AB238">
        <f t="shared" si="30"/>
        <v>2024</v>
      </c>
      <c r="AC238" t="str">
        <f t="shared" si="31"/>
        <v>Clean</v>
      </c>
    </row>
    <row r="239" spans="1:29">
      <c r="A239" t="s">
        <v>817</v>
      </c>
      <c r="B239" s="2">
        <v>45531</v>
      </c>
      <c r="C239" s="2">
        <v>45531</v>
      </c>
      <c r="D239" s="3">
        <f t="shared" si="24"/>
        <v>0</v>
      </c>
      <c r="E239" t="s">
        <v>818</v>
      </c>
      <c r="F239" t="s">
        <v>36</v>
      </c>
      <c r="G239" t="s">
        <v>24</v>
      </c>
      <c r="H239" t="s">
        <v>25</v>
      </c>
      <c r="I239" t="s">
        <v>236</v>
      </c>
      <c r="J239" t="s">
        <v>237</v>
      </c>
      <c r="K239" t="s">
        <v>74</v>
      </c>
      <c r="L239" t="s">
        <v>80</v>
      </c>
      <c r="M239" t="s">
        <v>819</v>
      </c>
      <c r="N239" t="s">
        <v>59</v>
      </c>
      <c r="O239">
        <v>9</v>
      </c>
      <c r="P239">
        <v>2330.3000000000002</v>
      </c>
      <c r="Q239" s="7">
        <v>0</v>
      </c>
      <c r="R239">
        <v>20972.7</v>
      </c>
      <c r="S239">
        <v>13504.88</v>
      </c>
      <c r="T239">
        <v>7467.82</v>
      </c>
      <c r="U239" t="s">
        <v>32</v>
      </c>
      <c r="V239" t="s">
        <v>33</v>
      </c>
      <c r="W239" s="8">
        <f t="shared" si="25"/>
        <v>0</v>
      </c>
      <c r="X239">
        <f t="shared" si="26"/>
        <v>20972.7</v>
      </c>
      <c r="Y239">
        <f t="shared" si="27"/>
        <v>7467.8200000000015</v>
      </c>
      <c r="Z239" s="8">
        <f t="shared" si="28"/>
        <v>0.35607337157352181</v>
      </c>
      <c r="AA239" t="str">
        <f t="shared" si="29"/>
        <v>August</v>
      </c>
      <c r="AB239">
        <f t="shared" si="30"/>
        <v>2024</v>
      </c>
      <c r="AC239" t="str">
        <f t="shared" si="31"/>
        <v>Clean</v>
      </c>
    </row>
    <row r="240" spans="1:29">
      <c r="A240" t="s">
        <v>820</v>
      </c>
      <c r="B240" s="2">
        <v>45303</v>
      </c>
      <c r="C240" s="2">
        <v>45308</v>
      </c>
      <c r="D240" s="3">
        <f t="shared" si="24"/>
        <v>5</v>
      </c>
      <c r="E240" t="s">
        <v>821</v>
      </c>
      <c r="F240" t="s">
        <v>53</v>
      </c>
      <c r="G240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822</v>
      </c>
      <c r="N240" t="s">
        <v>50</v>
      </c>
      <c r="O240">
        <v>7</v>
      </c>
      <c r="P240">
        <v>4005.05</v>
      </c>
      <c r="Q240" s="6">
        <v>0.55000000000000004</v>
      </c>
      <c r="R240">
        <v>26633.58</v>
      </c>
      <c r="S240">
        <v>18838.75</v>
      </c>
      <c r="T240">
        <v>7794.83</v>
      </c>
      <c r="U240" t="s">
        <v>32</v>
      </c>
      <c r="V240" t="s">
        <v>33</v>
      </c>
      <c r="W240" s="8">
        <f t="shared" si="25"/>
        <v>0.55000000000000004</v>
      </c>
      <c r="X240">
        <f t="shared" si="26"/>
        <v>12615.907499999999</v>
      </c>
      <c r="Y240">
        <f t="shared" si="27"/>
        <v>-6222.8425000000007</v>
      </c>
      <c r="Z240" s="8">
        <f t="shared" si="28"/>
        <v>-0.4932536561480021</v>
      </c>
      <c r="AA240" t="str">
        <f t="shared" si="29"/>
        <v>January</v>
      </c>
      <c r="AB240">
        <f t="shared" si="30"/>
        <v>2024</v>
      </c>
      <c r="AC240" t="str">
        <f t="shared" si="31"/>
        <v>Clean</v>
      </c>
    </row>
    <row r="241" spans="1:29">
      <c r="A241" t="s">
        <v>823</v>
      </c>
      <c r="B241" s="2">
        <v>45556</v>
      </c>
      <c r="C241" s="2">
        <v>45556</v>
      </c>
      <c r="D241" s="3">
        <f t="shared" si="24"/>
        <v>0</v>
      </c>
      <c r="E241" t="s">
        <v>824</v>
      </c>
      <c r="F241" t="s">
        <v>264</v>
      </c>
      <c r="G241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274</v>
      </c>
      <c r="M241" t="s">
        <v>825</v>
      </c>
      <c r="N241" t="s">
        <v>50</v>
      </c>
      <c r="O241">
        <v>2</v>
      </c>
      <c r="P241">
        <v>1960.06</v>
      </c>
      <c r="Q241" s="6">
        <v>0.2</v>
      </c>
      <c r="R241">
        <v>3136.1</v>
      </c>
      <c r="S241">
        <v>2279.4899999999998</v>
      </c>
      <c r="T241">
        <v>856.61</v>
      </c>
      <c r="U241" t="s">
        <v>32</v>
      </c>
      <c r="V241" t="s">
        <v>33</v>
      </c>
      <c r="W241" s="8">
        <f t="shared" si="25"/>
        <v>0.2</v>
      </c>
      <c r="X241">
        <f t="shared" si="26"/>
        <v>3136.096</v>
      </c>
      <c r="Y241">
        <f t="shared" si="27"/>
        <v>856.60600000000022</v>
      </c>
      <c r="Z241" s="8">
        <f t="shared" si="28"/>
        <v>0.273144061916472</v>
      </c>
      <c r="AA241" t="str">
        <f t="shared" si="29"/>
        <v>September</v>
      </c>
      <c r="AB241">
        <f t="shared" si="30"/>
        <v>2024</v>
      </c>
      <c r="AC241" t="str">
        <f t="shared" si="31"/>
        <v>Clean</v>
      </c>
    </row>
    <row r="242" spans="1:29">
      <c r="A242" t="s">
        <v>826</v>
      </c>
      <c r="B242" s="2">
        <v>45643</v>
      </c>
      <c r="C242" s="2">
        <v>45649</v>
      </c>
      <c r="D242" s="3">
        <f t="shared" si="24"/>
        <v>6</v>
      </c>
      <c r="E242" t="s">
        <v>827</v>
      </c>
      <c r="F242" t="s">
        <v>128</v>
      </c>
      <c r="G242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828</v>
      </c>
      <c r="N242" t="s">
        <v>50</v>
      </c>
      <c r="O242">
        <v>9</v>
      </c>
      <c r="P242">
        <v>2315.1</v>
      </c>
      <c r="Q242" s="7">
        <v>0</v>
      </c>
      <c r="R242">
        <v>20835.900000000001</v>
      </c>
      <c r="S242">
        <v>13928.19</v>
      </c>
      <c r="T242">
        <v>6907.71</v>
      </c>
      <c r="U242" t="s">
        <v>32</v>
      </c>
      <c r="V242" t="s">
        <v>33</v>
      </c>
      <c r="W242" s="8">
        <f t="shared" si="25"/>
        <v>0</v>
      </c>
      <c r="X242">
        <f t="shared" si="26"/>
        <v>20835.899999999998</v>
      </c>
      <c r="Y242">
        <f t="shared" si="27"/>
        <v>6907.7099999999973</v>
      </c>
      <c r="Z242" s="8">
        <f t="shared" si="28"/>
        <v>0.33152923559817421</v>
      </c>
      <c r="AA242" t="str">
        <f t="shared" si="29"/>
        <v>December</v>
      </c>
      <c r="AB242">
        <f t="shared" si="30"/>
        <v>2024</v>
      </c>
      <c r="AC242" t="str">
        <f t="shared" si="31"/>
        <v>Clean</v>
      </c>
    </row>
    <row r="243" spans="1:29">
      <c r="A243" t="s">
        <v>829</v>
      </c>
      <c r="B243" s="2">
        <v>45844</v>
      </c>
      <c r="C243" s="2">
        <v>45815</v>
      </c>
      <c r="D243" s="5">
        <f t="shared" si="24"/>
        <v>-29</v>
      </c>
      <c r="E243" t="s">
        <v>830</v>
      </c>
      <c r="F243" t="s">
        <v>132</v>
      </c>
      <c r="G243" t="s">
        <v>90</v>
      </c>
      <c r="H243" t="s">
        <v>25</v>
      </c>
      <c r="I243" t="s">
        <v>236</v>
      </c>
      <c r="J243" t="s">
        <v>237</v>
      </c>
      <c r="K243" t="s">
        <v>28</v>
      </c>
      <c r="L243" t="s">
        <v>124</v>
      </c>
      <c r="M243" t="s">
        <v>831</v>
      </c>
      <c r="N243" t="s">
        <v>59</v>
      </c>
      <c r="O243">
        <v>1</v>
      </c>
      <c r="P243">
        <v>1617.2</v>
      </c>
      <c r="Q243" s="6">
        <v>0.25</v>
      </c>
      <c r="R243">
        <v>1212.9000000000001</v>
      </c>
      <c r="S243">
        <v>690.52</v>
      </c>
      <c r="T243">
        <v>522.38</v>
      </c>
      <c r="U243" t="s">
        <v>111</v>
      </c>
      <c r="V243" t="s">
        <v>103</v>
      </c>
      <c r="W243" s="8">
        <f t="shared" si="25"/>
        <v>0.25</v>
      </c>
      <c r="X243">
        <f t="shared" si="26"/>
        <v>1212.9000000000001</v>
      </c>
      <c r="Y243">
        <f t="shared" si="27"/>
        <v>522.38000000000011</v>
      </c>
      <c r="Z243" s="8">
        <f t="shared" si="28"/>
        <v>0.4306867837414462</v>
      </c>
      <c r="AA243" t="str">
        <f t="shared" si="29"/>
        <v>July</v>
      </c>
      <c r="AB243">
        <f t="shared" si="30"/>
        <v>2025</v>
      </c>
      <c r="AC243" t="str">
        <f t="shared" si="31"/>
        <v>Warning</v>
      </c>
    </row>
    <row r="244" spans="1:29">
      <c r="A244" t="s">
        <v>832</v>
      </c>
      <c r="B244" s="2">
        <v>45695</v>
      </c>
      <c r="C244" s="2">
        <v>45695</v>
      </c>
      <c r="D244" s="3">
        <f t="shared" si="24"/>
        <v>0</v>
      </c>
      <c r="E244" t="s">
        <v>833</v>
      </c>
      <c r="F244" t="s">
        <v>53</v>
      </c>
      <c r="G244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834</v>
      </c>
      <c r="N244" t="s">
        <v>31</v>
      </c>
      <c r="O244">
        <v>3</v>
      </c>
      <c r="P244">
        <v>1999.24</v>
      </c>
      <c r="Q244" s="6">
        <v>0.05</v>
      </c>
      <c r="R244">
        <v>5697.83</v>
      </c>
      <c r="S244">
        <v>4251.5</v>
      </c>
      <c r="T244">
        <v>1446.33</v>
      </c>
      <c r="U244" t="s">
        <v>32</v>
      </c>
      <c r="V244" t="s">
        <v>33</v>
      </c>
      <c r="W244" s="8">
        <f t="shared" si="25"/>
        <v>0.05</v>
      </c>
      <c r="X244">
        <f t="shared" si="26"/>
        <v>5697.8339999999998</v>
      </c>
      <c r="Y244">
        <f t="shared" si="27"/>
        <v>1446.3339999999998</v>
      </c>
      <c r="Z244" s="8">
        <f t="shared" si="28"/>
        <v>0.25383926593860051</v>
      </c>
      <c r="AA244" t="str">
        <f t="shared" si="29"/>
        <v>February</v>
      </c>
      <c r="AB244">
        <f t="shared" si="30"/>
        <v>2025</v>
      </c>
      <c r="AC244" t="str">
        <f t="shared" si="31"/>
        <v>Clean</v>
      </c>
    </row>
    <row r="245" spans="1:29">
      <c r="A245" t="s">
        <v>835</v>
      </c>
      <c r="B245" s="2">
        <v>45867</v>
      </c>
      <c r="C245" s="2">
        <v>45871</v>
      </c>
      <c r="D245" s="3">
        <f t="shared" si="24"/>
        <v>4</v>
      </c>
      <c r="E245" t="s">
        <v>836</v>
      </c>
      <c r="F245" t="s">
        <v>132</v>
      </c>
      <c r="G245" t="s">
        <v>37</v>
      </c>
      <c r="H245" s="4" t="s">
        <v>2760</v>
      </c>
      <c r="I245" t="s">
        <v>72</v>
      </c>
      <c r="J245" t="s">
        <v>73</v>
      </c>
      <c r="K245" t="s">
        <v>74</v>
      </c>
      <c r="L245" t="s">
        <v>75</v>
      </c>
      <c r="M245" t="s">
        <v>837</v>
      </c>
      <c r="N245" t="s">
        <v>50</v>
      </c>
      <c r="O245">
        <v>1</v>
      </c>
      <c r="P245">
        <v>4499.46</v>
      </c>
      <c r="Q245" s="6">
        <v>0.1</v>
      </c>
      <c r="R245">
        <v>4049.51</v>
      </c>
      <c r="S245">
        <v>2509.1999999999998</v>
      </c>
      <c r="T245">
        <v>1540.31</v>
      </c>
      <c r="U245" t="s">
        <v>32</v>
      </c>
      <c r="V245" t="s">
        <v>33</v>
      </c>
      <c r="W245" s="8">
        <f t="shared" si="25"/>
        <v>0.1</v>
      </c>
      <c r="X245">
        <f t="shared" si="26"/>
        <v>4049.5140000000001</v>
      </c>
      <c r="Y245">
        <f t="shared" si="27"/>
        <v>1540.3140000000003</v>
      </c>
      <c r="Z245" s="8">
        <f t="shared" si="28"/>
        <v>0.38037008885510715</v>
      </c>
      <c r="AA245" t="str">
        <f t="shared" si="29"/>
        <v>July</v>
      </c>
      <c r="AB245">
        <f t="shared" si="30"/>
        <v>2025</v>
      </c>
      <c r="AC245" t="str">
        <f t="shared" si="31"/>
        <v>Clean</v>
      </c>
    </row>
    <row r="246" spans="1:29">
      <c r="A246" t="s">
        <v>838</v>
      </c>
      <c r="B246" s="2">
        <v>45527</v>
      </c>
      <c r="C246" s="2">
        <v>45528</v>
      </c>
      <c r="D246" s="3">
        <f t="shared" si="24"/>
        <v>1</v>
      </c>
      <c r="E246" t="s">
        <v>839</v>
      </c>
      <c r="F246" t="s">
        <v>79</v>
      </c>
      <c r="G246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840</v>
      </c>
      <c r="N246" t="s">
        <v>44</v>
      </c>
      <c r="O246">
        <v>6</v>
      </c>
      <c r="P246">
        <v>1021.89</v>
      </c>
      <c r="Q246" s="7">
        <v>0</v>
      </c>
      <c r="R246">
        <v>6131.34</v>
      </c>
      <c r="S246">
        <v>4060.88</v>
      </c>
      <c r="T246">
        <v>2070.46</v>
      </c>
      <c r="U246" t="s">
        <v>32</v>
      </c>
      <c r="V246" t="s">
        <v>33</v>
      </c>
      <c r="W246" s="8">
        <f t="shared" si="25"/>
        <v>0</v>
      </c>
      <c r="X246">
        <f t="shared" si="26"/>
        <v>6131.34</v>
      </c>
      <c r="Y246">
        <f t="shared" si="27"/>
        <v>2070.46</v>
      </c>
      <c r="Z246" s="8">
        <f t="shared" si="28"/>
        <v>0.33768474754295147</v>
      </c>
      <c r="AA246" t="str">
        <f t="shared" si="29"/>
        <v>August</v>
      </c>
      <c r="AB246">
        <f t="shared" si="30"/>
        <v>2024</v>
      </c>
      <c r="AC246" t="str">
        <f t="shared" si="31"/>
        <v>Clean</v>
      </c>
    </row>
    <row r="247" spans="1:29">
      <c r="A247" t="s">
        <v>841</v>
      </c>
      <c r="B247" s="2">
        <v>45583</v>
      </c>
      <c r="C247" s="2">
        <v>45589</v>
      </c>
      <c r="D247" s="3">
        <f t="shared" si="24"/>
        <v>6</v>
      </c>
      <c r="E247" t="s">
        <v>842</v>
      </c>
      <c r="F247" t="s">
        <v>79</v>
      </c>
      <c r="G247" t="s">
        <v>95</v>
      </c>
      <c r="H247" t="s">
        <v>54</v>
      </c>
      <c r="I247" t="s">
        <v>185</v>
      </c>
      <c r="J247" t="s">
        <v>186</v>
      </c>
      <c r="K247" t="s">
        <v>41</v>
      </c>
      <c r="L247" t="s">
        <v>66</v>
      </c>
      <c r="M247" t="s">
        <v>843</v>
      </c>
      <c r="N247" t="s">
        <v>31</v>
      </c>
      <c r="O247">
        <v>3</v>
      </c>
      <c r="P247">
        <v>3275.93</v>
      </c>
      <c r="Q247" s="7">
        <v>0</v>
      </c>
      <c r="R247">
        <v>9827.7900000000009</v>
      </c>
      <c r="S247">
        <v>5478.28</v>
      </c>
      <c r="T247">
        <v>4349.51</v>
      </c>
      <c r="U247" t="s">
        <v>32</v>
      </c>
      <c r="V247" t="s">
        <v>33</v>
      </c>
      <c r="W247" s="8">
        <f t="shared" si="25"/>
        <v>0</v>
      </c>
      <c r="X247">
        <f t="shared" si="26"/>
        <v>9827.7899999999991</v>
      </c>
      <c r="Y247">
        <f t="shared" si="27"/>
        <v>4349.5099999999993</v>
      </c>
      <c r="Z247" s="8">
        <f t="shared" si="28"/>
        <v>0.44257254174132737</v>
      </c>
      <c r="AA247" t="str">
        <f t="shared" si="29"/>
        <v>October</v>
      </c>
      <c r="AB247">
        <f t="shared" si="30"/>
        <v>2024</v>
      </c>
      <c r="AC247" t="str">
        <f t="shared" si="31"/>
        <v>Clean</v>
      </c>
    </row>
    <row r="248" spans="1:29">
      <c r="A248" t="s">
        <v>844</v>
      </c>
      <c r="B248" s="2">
        <v>45416</v>
      </c>
      <c r="C248" s="2">
        <v>45421</v>
      </c>
      <c r="D248" s="3">
        <f t="shared" si="24"/>
        <v>5</v>
      </c>
      <c r="E248" t="s">
        <v>845</v>
      </c>
      <c r="F248" t="s">
        <v>62</v>
      </c>
      <c r="G248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274</v>
      </c>
      <c r="M248" t="s">
        <v>846</v>
      </c>
      <c r="N248" t="s">
        <v>44</v>
      </c>
      <c r="O248">
        <v>3</v>
      </c>
      <c r="P248">
        <v>231.95</v>
      </c>
      <c r="Q248" s="6">
        <v>0.25</v>
      </c>
      <c r="R248">
        <v>521.89</v>
      </c>
      <c r="S248">
        <v>444.52</v>
      </c>
      <c r="T248">
        <v>77.37</v>
      </c>
      <c r="U248" t="s">
        <v>102</v>
      </c>
      <c r="V248" t="s">
        <v>68</v>
      </c>
      <c r="W248" s="8">
        <f t="shared" si="25"/>
        <v>0.25</v>
      </c>
      <c r="X248">
        <f t="shared" si="26"/>
        <v>521.88749999999993</v>
      </c>
      <c r="Y248">
        <f t="shared" si="27"/>
        <v>77.36749999999995</v>
      </c>
      <c r="Z248" s="8">
        <f t="shared" si="28"/>
        <v>0.14824555100476627</v>
      </c>
      <c r="AA248" t="str">
        <f t="shared" si="29"/>
        <v>May</v>
      </c>
      <c r="AB248">
        <f t="shared" si="30"/>
        <v>2024</v>
      </c>
      <c r="AC248" t="str">
        <f t="shared" si="31"/>
        <v>Clean</v>
      </c>
    </row>
    <row r="249" spans="1:29">
      <c r="A249" t="s">
        <v>847</v>
      </c>
      <c r="B249" s="2">
        <v>45498</v>
      </c>
      <c r="C249" s="2">
        <v>45505</v>
      </c>
      <c r="D249" s="3">
        <f t="shared" si="24"/>
        <v>7</v>
      </c>
      <c r="E249" t="s">
        <v>848</v>
      </c>
      <c r="F249" t="s">
        <v>118</v>
      </c>
      <c r="G249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849</v>
      </c>
      <c r="N249" t="s">
        <v>31</v>
      </c>
      <c r="O249">
        <v>8</v>
      </c>
      <c r="P249">
        <v>2493.4</v>
      </c>
      <c r="Q249" s="6">
        <v>0.25</v>
      </c>
      <c r="R249">
        <v>14960.4</v>
      </c>
      <c r="S249">
        <v>12500.84</v>
      </c>
      <c r="T249">
        <v>2459.56</v>
      </c>
      <c r="U249" t="s">
        <v>32</v>
      </c>
      <c r="V249" t="s">
        <v>33</v>
      </c>
      <c r="W249" s="8">
        <f t="shared" si="25"/>
        <v>0.25</v>
      </c>
      <c r="X249">
        <f t="shared" si="26"/>
        <v>14960.400000000001</v>
      </c>
      <c r="Y249">
        <f t="shared" si="27"/>
        <v>2459.5600000000013</v>
      </c>
      <c r="Z249" s="8">
        <f t="shared" si="28"/>
        <v>0.16440469506162944</v>
      </c>
      <c r="AA249" t="str">
        <f t="shared" si="29"/>
        <v>July</v>
      </c>
      <c r="AB249">
        <f t="shared" si="30"/>
        <v>2024</v>
      </c>
      <c r="AC249" t="str">
        <f t="shared" si="31"/>
        <v>Clean</v>
      </c>
    </row>
    <row r="250" spans="1:29">
      <c r="A250" t="s">
        <v>850</v>
      </c>
      <c r="B250" s="2">
        <v>45445</v>
      </c>
      <c r="C250" s="2">
        <v>45479</v>
      </c>
      <c r="D250" s="3">
        <f t="shared" si="24"/>
        <v>34</v>
      </c>
      <c r="E250" t="s">
        <v>851</v>
      </c>
      <c r="F250" t="s">
        <v>141</v>
      </c>
      <c r="G250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852</v>
      </c>
      <c r="N250" t="s">
        <v>31</v>
      </c>
      <c r="O250">
        <v>9</v>
      </c>
      <c r="P250">
        <v>787.91</v>
      </c>
      <c r="Q250" s="6">
        <v>0.15</v>
      </c>
      <c r="R250">
        <v>6027.51</v>
      </c>
      <c r="S250">
        <v>4883.82</v>
      </c>
      <c r="T250">
        <v>1143.69</v>
      </c>
      <c r="U250" t="s">
        <v>32</v>
      </c>
      <c r="V250" t="s">
        <v>33</v>
      </c>
      <c r="W250" s="8">
        <f t="shared" si="25"/>
        <v>0.15</v>
      </c>
      <c r="X250">
        <f t="shared" si="26"/>
        <v>6027.5114999999996</v>
      </c>
      <c r="Y250">
        <f t="shared" si="27"/>
        <v>1143.6914999999999</v>
      </c>
      <c r="Z250" s="8">
        <f t="shared" si="28"/>
        <v>0.18974522072666306</v>
      </c>
      <c r="AA250" t="str">
        <f t="shared" si="29"/>
        <v>June</v>
      </c>
      <c r="AB250">
        <f t="shared" si="30"/>
        <v>2024</v>
      </c>
      <c r="AC250" t="str">
        <f t="shared" si="31"/>
        <v>Clean</v>
      </c>
    </row>
    <row r="251" spans="1:29">
      <c r="A251" t="s">
        <v>853</v>
      </c>
      <c r="B251" s="2">
        <v>45870</v>
      </c>
      <c r="C251" s="2">
        <v>45871</v>
      </c>
      <c r="D251" s="3">
        <f t="shared" si="24"/>
        <v>1</v>
      </c>
      <c r="E251" t="s">
        <v>854</v>
      </c>
      <c r="F251" t="s">
        <v>36</v>
      </c>
      <c r="G251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855</v>
      </c>
      <c r="N251" t="s">
        <v>50</v>
      </c>
      <c r="O251">
        <v>4</v>
      </c>
      <c r="P251">
        <v>2790.29</v>
      </c>
      <c r="Q251" s="6">
        <v>0.2</v>
      </c>
      <c r="R251">
        <v>8928.93</v>
      </c>
      <c r="S251">
        <v>5634.38</v>
      </c>
      <c r="T251">
        <v>3294.55</v>
      </c>
      <c r="U251" t="s">
        <v>32</v>
      </c>
      <c r="V251" t="s">
        <v>33</v>
      </c>
      <c r="W251" s="8">
        <f t="shared" si="25"/>
        <v>0.2</v>
      </c>
      <c r="X251">
        <f t="shared" si="26"/>
        <v>8928.9279999999999</v>
      </c>
      <c r="Y251">
        <f t="shared" si="27"/>
        <v>3294.5479999999998</v>
      </c>
      <c r="Z251" s="8">
        <f t="shared" si="28"/>
        <v>0.36897464062875185</v>
      </c>
      <c r="AA251" t="str">
        <f t="shared" si="29"/>
        <v>August</v>
      </c>
      <c r="AB251">
        <f t="shared" si="30"/>
        <v>2025</v>
      </c>
      <c r="AC251" t="str">
        <f t="shared" si="31"/>
        <v>Clean</v>
      </c>
    </row>
    <row r="252" spans="1:29">
      <c r="A252" t="s">
        <v>856</v>
      </c>
      <c r="B252" s="2">
        <v>45343</v>
      </c>
      <c r="C252" s="2">
        <v>45349</v>
      </c>
      <c r="D252" s="3">
        <f t="shared" si="24"/>
        <v>6</v>
      </c>
      <c r="E252" t="s">
        <v>857</v>
      </c>
      <c r="F252" t="s">
        <v>53</v>
      </c>
      <c r="G252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858</v>
      </c>
      <c r="N252" t="s">
        <v>59</v>
      </c>
      <c r="O252">
        <v>5</v>
      </c>
      <c r="P252">
        <v>3373.86</v>
      </c>
      <c r="Q252" s="6">
        <v>0.15</v>
      </c>
      <c r="R252">
        <v>14338.9</v>
      </c>
      <c r="S252">
        <v>11897.65</v>
      </c>
      <c r="T252">
        <v>2441.25</v>
      </c>
      <c r="U252" t="s">
        <v>111</v>
      </c>
      <c r="V252" t="s">
        <v>103</v>
      </c>
      <c r="W252" s="8">
        <f t="shared" si="25"/>
        <v>0.15</v>
      </c>
      <c r="X252">
        <f t="shared" si="26"/>
        <v>14338.904999999999</v>
      </c>
      <c r="Y252">
        <f t="shared" si="27"/>
        <v>2441.2549999999992</v>
      </c>
      <c r="Z252" s="8">
        <f t="shared" si="28"/>
        <v>0.17025393501107647</v>
      </c>
      <c r="AA252" t="str">
        <f t="shared" si="29"/>
        <v>February</v>
      </c>
      <c r="AB252">
        <f t="shared" si="30"/>
        <v>2024</v>
      </c>
      <c r="AC252" t="str">
        <f t="shared" si="31"/>
        <v>Clean</v>
      </c>
    </row>
    <row r="253" spans="1:29">
      <c r="A253" t="s">
        <v>859</v>
      </c>
      <c r="B253" s="2">
        <v>45753</v>
      </c>
      <c r="C253" s="2">
        <v>45757</v>
      </c>
      <c r="D253" s="3">
        <f t="shared" si="24"/>
        <v>4</v>
      </c>
      <c r="E253" t="s">
        <v>860</v>
      </c>
      <c r="F253" t="s">
        <v>62</v>
      </c>
      <c r="G253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861</v>
      </c>
      <c r="N253" t="s">
        <v>31</v>
      </c>
      <c r="O253">
        <v>6</v>
      </c>
      <c r="P253">
        <v>1022.16</v>
      </c>
      <c r="Q253" s="7">
        <v>0</v>
      </c>
      <c r="R253">
        <v>6132.96</v>
      </c>
      <c r="S253">
        <v>4881.1000000000004</v>
      </c>
      <c r="T253">
        <v>1251.8599999999999</v>
      </c>
      <c r="U253" t="s">
        <v>32</v>
      </c>
      <c r="V253" t="s">
        <v>33</v>
      </c>
      <c r="W253" s="8">
        <f t="shared" si="25"/>
        <v>0</v>
      </c>
      <c r="X253">
        <f t="shared" si="26"/>
        <v>6132.96</v>
      </c>
      <c r="Y253">
        <f t="shared" si="27"/>
        <v>1251.8599999999997</v>
      </c>
      <c r="Z253" s="8">
        <f t="shared" si="28"/>
        <v>0.20412003339333692</v>
      </c>
      <c r="AA253" t="str">
        <f t="shared" si="29"/>
        <v>April</v>
      </c>
      <c r="AB253">
        <f t="shared" si="30"/>
        <v>2025</v>
      </c>
      <c r="AC253" t="str">
        <f t="shared" si="31"/>
        <v>Clean</v>
      </c>
    </row>
    <row r="254" spans="1:29">
      <c r="A254" t="s">
        <v>862</v>
      </c>
      <c r="B254" s="2">
        <v>45833</v>
      </c>
      <c r="C254" s="2">
        <v>45836</v>
      </c>
      <c r="D254" s="3">
        <f t="shared" si="24"/>
        <v>3</v>
      </c>
      <c r="E254" t="s">
        <v>863</v>
      </c>
      <c r="F254" t="s">
        <v>53</v>
      </c>
      <c r="G254" t="s">
        <v>90</v>
      </c>
      <c r="H254" t="s">
        <v>25</v>
      </c>
      <c r="I254" t="s">
        <v>236</v>
      </c>
      <c r="J254" t="s">
        <v>237</v>
      </c>
      <c r="K254" t="s">
        <v>28</v>
      </c>
      <c r="L254" t="s">
        <v>124</v>
      </c>
      <c r="M254" t="s">
        <v>864</v>
      </c>
      <c r="N254" t="s">
        <v>50</v>
      </c>
      <c r="O254">
        <v>2</v>
      </c>
      <c r="P254">
        <v>1455.92</v>
      </c>
      <c r="Q254" s="6">
        <v>0.2</v>
      </c>
      <c r="R254">
        <v>2329.4699999999998</v>
      </c>
      <c r="S254">
        <v>1603.62</v>
      </c>
      <c r="T254">
        <v>725.85</v>
      </c>
      <c r="U254" t="s">
        <v>111</v>
      </c>
      <c r="V254" t="s">
        <v>103</v>
      </c>
      <c r="W254" s="8">
        <f t="shared" si="25"/>
        <v>0.2</v>
      </c>
      <c r="X254">
        <f t="shared" si="26"/>
        <v>2329.4720000000002</v>
      </c>
      <c r="Y254">
        <f t="shared" si="27"/>
        <v>725.85200000000032</v>
      </c>
      <c r="Z254" s="8">
        <f t="shared" si="28"/>
        <v>0.31159507390515973</v>
      </c>
      <c r="AA254" t="str">
        <f t="shared" si="29"/>
        <v>June</v>
      </c>
      <c r="AB254">
        <f t="shared" si="30"/>
        <v>2025</v>
      </c>
      <c r="AC254" t="str">
        <f t="shared" si="31"/>
        <v>Clean</v>
      </c>
    </row>
    <row r="255" spans="1:29">
      <c r="A255" t="s">
        <v>865</v>
      </c>
      <c r="B255" s="2">
        <v>45547</v>
      </c>
      <c r="C255" s="2">
        <v>45548</v>
      </c>
      <c r="D255" s="3">
        <f t="shared" si="24"/>
        <v>1</v>
      </c>
      <c r="E255" t="s">
        <v>866</v>
      </c>
      <c r="F255" t="s">
        <v>114</v>
      </c>
      <c r="G25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867</v>
      </c>
      <c r="N255" t="s">
        <v>44</v>
      </c>
      <c r="O255">
        <v>6</v>
      </c>
      <c r="P255">
        <v>832.79</v>
      </c>
      <c r="Q255" s="6">
        <v>0.05</v>
      </c>
      <c r="R255">
        <v>4746.8999999999996</v>
      </c>
      <c r="S255">
        <v>2825.38</v>
      </c>
      <c r="T255">
        <v>1472.89</v>
      </c>
      <c r="U255" t="s">
        <v>102</v>
      </c>
      <c r="V255" t="s">
        <v>68</v>
      </c>
      <c r="W255" s="8">
        <f t="shared" si="25"/>
        <v>0.05</v>
      </c>
      <c r="X255">
        <f t="shared" si="26"/>
        <v>4746.9029999999993</v>
      </c>
      <c r="Y255">
        <f t="shared" si="27"/>
        <v>1921.5229999999992</v>
      </c>
      <c r="Z255" s="8">
        <f t="shared" si="28"/>
        <v>0.40479508428969363</v>
      </c>
      <c r="AA255" t="str">
        <f t="shared" si="29"/>
        <v>September</v>
      </c>
      <c r="AB255">
        <f t="shared" si="30"/>
        <v>2024</v>
      </c>
      <c r="AC255" t="str">
        <f t="shared" si="31"/>
        <v>Clean</v>
      </c>
    </row>
    <row r="256" spans="1:29">
      <c r="A256" t="s">
        <v>868</v>
      </c>
      <c r="B256" s="2">
        <v>45658</v>
      </c>
      <c r="C256" s="2">
        <v>45717</v>
      </c>
      <c r="D256" s="3">
        <f t="shared" si="24"/>
        <v>59</v>
      </c>
      <c r="E256" t="s">
        <v>869</v>
      </c>
      <c r="F256" t="s">
        <v>62</v>
      </c>
      <c r="G256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870</v>
      </c>
      <c r="N256" t="s">
        <v>44</v>
      </c>
      <c r="O256">
        <v>7</v>
      </c>
      <c r="P256">
        <v>1000.55</v>
      </c>
      <c r="Q256" s="6">
        <v>0.2</v>
      </c>
      <c r="R256">
        <v>5603.08</v>
      </c>
      <c r="S256">
        <v>3132.52</v>
      </c>
      <c r="T256">
        <v>2470.56</v>
      </c>
      <c r="U256" t="s">
        <v>32</v>
      </c>
      <c r="V256" t="s">
        <v>103</v>
      </c>
      <c r="W256" s="8">
        <f t="shared" si="25"/>
        <v>0.2</v>
      </c>
      <c r="X256">
        <f t="shared" si="26"/>
        <v>5603.08</v>
      </c>
      <c r="Y256">
        <f t="shared" si="27"/>
        <v>2470.56</v>
      </c>
      <c r="Z256" s="8">
        <f t="shared" si="28"/>
        <v>0.44092891766671188</v>
      </c>
      <c r="AA256" t="str">
        <f t="shared" si="29"/>
        <v>January</v>
      </c>
      <c r="AB256">
        <f t="shared" si="30"/>
        <v>2025</v>
      </c>
      <c r="AC256" t="str">
        <f t="shared" si="31"/>
        <v>Clean</v>
      </c>
    </row>
    <row r="257" spans="1:29">
      <c r="A257" t="s">
        <v>871</v>
      </c>
      <c r="B257" s="2">
        <v>45692</v>
      </c>
      <c r="C257" s="2">
        <v>45698</v>
      </c>
      <c r="D257" s="3">
        <f t="shared" si="24"/>
        <v>6</v>
      </c>
      <c r="E257" t="s">
        <v>872</v>
      </c>
      <c r="F257" t="s">
        <v>47</v>
      </c>
      <c r="G257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873</v>
      </c>
      <c r="N257" t="s">
        <v>50</v>
      </c>
      <c r="O257">
        <v>7</v>
      </c>
      <c r="P257">
        <v>1830</v>
      </c>
      <c r="Q257" s="7">
        <v>0</v>
      </c>
      <c r="R257">
        <v>12810</v>
      </c>
      <c r="S257">
        <v>9334.1200000000008</v>
      </c>
      <c r="T257">
        <v>3475.88</v>
      </c>
      <c r="U257" t="s">
        <v>32</v>
      </c>
      <c r="V257" t="s">
        <v>33</v>
      </c>
      <c r="W257" s="8">
        <f t="shared" si="25"/>
        <v>0</v>
      </c>
      <c r="X257">
        <f t="shared" si="26"/>
        <v>12810</v>
      </c>
      <c r="Y257">
        <f t="shared" si="27"/>
        <v>3475.8799999999992</v>
      </c>
      <c r="Z257" s="8">
        <f t="shared" si="28"/>
        <v>0.27134113973458229</v>
      </c>
      <c r="AA257" t="str">
        <f t="shared" si="29"/>
        <v>February</v>
      </c>
      <c r="AB257">
        <f t="shared" si="30"/>
        <v>2025</v>
      </c>
      <c r="AC257" t="str">
        <f t="shared" si="31"/>
        <v>Clean</v>
      </c>
    </row>
    <row r="258" spans="1:29">
      <c r="A258" t="s">
        <v>874</v>
      </c>
      <c r="B258" s="2">
        <v>45601</v>
      </c>
      <c r="C258" s="2">
        <v>45599</v>
      </c>
      <c r="D258" s="5">
        <f t="shared" ref="D258:D321" si="32">C258-B258</f>
        <v>-2</v>
      </c>
      <c r="E258" t="s">
        <v>875</v>
      </c>
      <c r="F258" t="s">
        <v>62</v>
      </c>
      <c r="G258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876</v>
      </c>
      <c r="N258" t="s">
        <v>50</v>
      </c>
      <c r="O258">
        <v>9</v>
      </c>
      <c r="P258">
        <v>2260.61</v>
      </c>
      <c r="Q258" s="6">
        <v>0.05</v>
      </c>
      <c r="R258">
        <v>19328.22</v>
      </c>
      <c r="S258">
        <v>12039.5</v>
      </c>
      <c r="T258">
        <v>7288.72</v>
      </c>
      <c r="U258" t="s">
        <v>32</v>
      </c>
      <c r="V258" t="s">
        <v>33</v>
      </c>
      <c r="W258" s="8">
        <f t="shared" si="25"/>
        <v>0.05</v>
      </c>
      <c r="X258">
        <f t="shared" si="26"/>
        <v>19328.215500000002</v>
      </c>
      <c r="Y258">
        <f t="shared" si="27"/>
        <v>7288.7155000000021</v>
      </c>
      <c r="Z258" s="8">
        <f t="shared" si="28"/>
        <v>0.3771023507058891</v>
      </c>
      <c r="AA258" t="str">
        <f t="shared" si="29"/>
        <v>November</v>
      </c>
      <c r="AB258">
        <f t="shared" si="30"/>
        <v>2024</v>
      </c>
      <c r="AC258" t="str">
        <f t="shared" si="31"/>
        <v>Warning</v>
      </c>
    </row>
    <row r="259" spans="1:29">
      <c r="A259" t="s">
        <v>877</v>
      </c>
      <c r="B259" s="2">
        <v>45878</v>
      </c>
      <c r="C259" s="2">
        <v>45881</v>
      </c>
      <c r="D259" s="3">
        <f t="shared" si="32"/>
        <v>3</v>
      </c>
      <c r="E259" t="s">
        <v>878</v>
      </c>
      <c r="F259" t="s">
        <v>162</v>
      </c>
      <c r="G259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879</v>
      </c>
      <c r="N259" t="s">
        <v>31</v>
      </c>
      <c r="O259">
        <v>2</v>
      </c>
      <c r="P259">
        <v>3237.27</v>
      </c>
      <c r="Q259" s="7">
        <v>0</v>
      </c>
      <c r="R259">
        <v>6474.54</v>
      </c>
      <c r="S259">
        <v>5095.91</v>
      </c>
      <c r="T259">
        <v>1378.63</v>
      </c>
      <c r="U259" t="s">
        <v>32</v>
      </c>
      <c r="V259" t="s">
        <v>68</v>
      </c>
      <c r="W259" s="8">
        <f t="shared" ref="W259:W322" si="33">Q259</f>
        <v>0</v>
      </c>
      <c r="X259">
        <f t="shared" ref="X259:X322" si="34">O259*P259*(1-W259)</f>
        <v>6474.54</v>
      </c>
      <c r="Y259">
        <f t="shared" ref="Y259:Y322" si="35">X259-S259</f>
        <v>1378.63</v>
      </c>
      <c r="Z259" s="8">
        <f t="shared" ref="Z259:Z322" si="36">IF(X259=0,0,Y259/X259)</f>
        <v>0.21293095725719513</v>
      </c>
      <c r="AA259" t="str">
        <f t="shared" ref="AA259:AA322" si="37">TEXT(B259,"mmmm")</f>
        <v>August</v>
      </c>
      <c r="AB259">
        <f t="shared" ref="AB259:AB322" si="38">YEAR(B259)</f>
        <v>2025</v>
      </c>
      <c r="AC259" t="str">
        <f t="shared" ref="AC259:AC322" si="39">IF(Q259&lt;0,"Invalid",IF(D259&lt;0,"Warning","Clean"))</f>
        <v>Clean</v>
      </c>
    </row>
    <row r="260" spans="1:29">
      <c r="A260" t="s">
        <v>880</v>
      </c>
      <c r="B260" s="2">
        <v>45656</v>
      </c>
      <c r="C260" s="2">
        <v>45661</v>
      </c>
      <c r="D260" s="3">
        <f t="shared" si="32"/>
        <v>5</v>
      </c>
      <c r="E260" t="s">
        <v>881</v>
      </c>
      <c r="F260" t="s">
        <v>132</v>
      </c>
      <c r="G260" t="s">
        <v>90</v>
      </c>
      <c r="H260" t="s">
        <v>54</v>
      </c>
      <c r="I260" t="s">
        <v>247</v>
      </c>
      <c r="J260" t="s">
        <v>248</v>
      </c>
      <c r="K260" t="s">
        <v>41</v>
      </c>
      <c r="L260" t="s">
        <v>42</v>
      </c>
      <c r="M260" t="s">
        <v>882</v>
      </c>
      <c r="N260" t="s">
        <v>44</v>
      </c>
      <c r="O260">
        <v>2</v>
      </c>
      <c r="P260">
        <v>3720.07</v>
      </c>
      <c r="Q260" s="6">
        <v>0.25</v>
      </c>
      <c r="R260">
        <v>5580.11</v>
      </c>
      <c r="S260">
        <v>4307.01</v>
      </c>
      <c r="T260">
        <v>1273.0999999999999</v>
      </c>
      <c r="U260" t="s">
        <v>32</v>
      </c>
      <c r="V260" t="s">
        <v>33</v>
      </c>
      <c r="W260" s="8">
        <f t="shared" si="33"/>
        <v>0.25</v>
      </c>
      <c r="X260">
        <f t="shared" si="34"/>
        <v>5580.1050000000005</v>
      </c>
      <c r="Y260">
        <f t="shared" si="35"/>
        <v>1273.0950000000003</v>
      </c>
      <c r="Z260" s="8">
        <f t="shared" si="36"/>
        <v>0.22814893268137429</v>
      </c>
      <c r="AA260" t="str">
        <f t="shared" si="37"/>
        <v>December</v>
      </c>
      <c r="AB260">
        <f t="shared" si="38"/>
        <v>2024</v>
      </c>
      <c r="AC260" t="str">
        <f t="shared" si="39"/>
        <v>Clean</v>
      </c>
    </row>
    <row r="261" spans="1:29">
      <c r="A261" t="s">
        <v>883</v>
      </c>
      <c r="B261" s="2">
        <v>45464</v>
      </c>
      <c r="C261" s="2">
        <v>45472</v>
      </c>
      <c r="D261" s="3">
        <f t="shared" si="32"/>
        <v>8</v>
      </c>
      <c r="E261" t="s">
        <v>884</v>
      </c>
      <c r="F261" t="s">
        <v>79</v>
      </c>
      <c r="G261" t="s">
        <v>24</v>
      </c>
      <c r="H261" t="s">
        <v>54</v>
      </c>
      <c r="I261" t="s">
        <v>247</v>
      </c>
      <c r="J261" t="s">
        <v>248</v>
      </c>
      <c r="K261" t="s">
        <v>74</v>
      </c>
      <c r="L261" t="s">
        <v>274</v>
      </c>
      <c r="M261" t="s">
        <v>885</v>
      </c>
      <c r="N261" t="s">
        <v>59</v>
      </c>
      <c r="O261">
        <v>8</v>
      </c>
      <c r="P261">
        <v>2853.92</v>
      </c>
      <c r="Q261" s="6">
        <v>0.2</v>
      </c>
      <c r="R261">
        <v>18265.09</v>
      </c>
      <c r="S261">
        <v>10437.14</v>
      </c>
      <c r="T261">
        <v>7827.95</v>
      </c>
      <c r="U261" t="s">
        <v>32</v>
      </c>
      <c r="V261" t="s">
        <v>33</v>
      </c>
      <c r="W261" s="8">
        <f t="shared" si="33"/>
        <v>0.2</v>
      </c>
      <c r="X261">
        <f t="shared" si="34"/>
        <v>18265.088</v>
      </c>
      <c r="Y261">
        <f t="shared" si="35"/>
        <v>7827.9480000000003</v>
      </c>
      <c r="Z261" s="8">
        <f t="shared" si="36"/>
        <v>0.42857433810338064</v>
      </c>
      <c r="AA261" t="str">
        <f t="shared" si="37"/>
        <v>June</v>
      </c>
      <c r="AB261">
        <f t="shared" si="38"/>
        <v>2024</v>
      </c>
      <c r="AC261" t="str">
        <f t="shared" si="39"/>
        <v>Clean</v>
      </c>
    </row>
    <row r="262" spans="1:29">
      <c r="A262" t="s">
        <v>886</v>
      </c>
      <c r="B262" s="2">
        <v>45923</v>
      </c>
      <c r="C262" s="2">
        <v>45927</v>
      </c>
      <c r="D262" s="3">
        <f t="shared" si="32"/>
        <v>4</v>
      </c>
      <c r="E262" t="s">
        <v>887</v>
      </c>
      <c r="F262" t="s">
        <v>89</v>
      </c>
      <c r="G262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888</v>
      </c>
      <c r="N262" t="s">
        <v>44</v>
      </c>
      <c r="O262">
        <v>7</v>
      </c>
      <c r="P262">
        <v>2897.12</v>
      </c>
      <c r="Q262" s="6">
        <v>0.25</v>
      </c>
      <c r="R262">
        <v>15209.88</v>
      </c>
      <c r="S262">
        <v>10891.15</v>
      </c>
      <c r="T262">
        <v>4318.7299999999996</v>
      </c>
      <c r="U262" t="s">
        <v>155</v>
      </c>
      <c r="V262" t="s">
        <v>103</v>
      </c>
      <c r="W262" s="8">
        <f t="shared" si="33"/>
        <v>0.25</v>
      </c>
      <c r="X262">
        <f t="shared" si="34"/>
        <v>15209.880000000001</v>
      </c>
      <c r="Y262">
        <f t="shared" si="35"/>
        <v>4318.7300000000014</v>
      </c>
      <c r="Z262" s="8">
        <f t="shared" si="36"/>
        <v>0.28394241111698454</v>
      </c>
      <c r="AA262" t="str">
        <f t="shared" si="37"/>
        <v>September</v>
      </c>
      <c r="AB262">
        <f t="shared" si="38"/>
        <v>2025</v>
      </c>
      <c r="AC262" t="str">
        <f t="shared" si="39"/>
        <v>Clean</v>
      </c>
    </row>
    <row r="263" spans="1:29">
      <c r="A263" t="s">
        <v>889</v>
      </c>
      <c r="B263" s="2">
        <v>45826</v>
      </c>
      <c r="C263" s="2">
        <v>45832</v>
      </c>
      <c r="D263" s="3">
        <f t="shared" si="32"/>
        <v>6</v>
      </c>
      <c r="E263" t="s">
        <v>890</v>
      </c>
      <c r="F263" t="s">
        <v>132</v>
      </c>
      <c r="G263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891</v>
      </c>
      <c r="N263" t="s">
        <v>59</v>
      </c>
      <c r="O263">
        <v>3</v>
      </c>
      <c r="P263">
        <v>686.74</v>
      </c>
      <c r="Q263" s="6">
        <v>0.2</v>
      </c>
      <c r="R263">
        <v>1648.18</v>
      </c>
      <c r="S263">
        <v>987.91</v>
      </c>
      <c r="T263">
        <v>660.27</v>
      </c>
      <c r="U263" t="s">
        <v>155</v>
      </c>
      <c r="V263" t="s">
        <v>68</v>
      </c>
      <c r="W263" s="8">
        <f t="shared" si="33"/>
        <v>0.2</v>
      </c>
      <c r="X263">
        <f t="shared" si="34"/>
        <v>1648.1760000000004</v>
      </c>
      <c r="Y263">
        <f t="shared" si="35"/>
        <v>660.26600000000042</v>
      </c>
      <c r="Z263" s="8">
        <f t="shared" si="36"/>
        <v>0.40060406170214846</v>
      </c>
      <c r="AA263" t="str">
        <f t="shared" si="37"/>
        <v>June</v>
      </c>
      <c r="AB263">
        <f t="shared" si="38"/>
        <v>2025</v>
      </c>
      <c r="AC263" t="str">
        <f t="shared" si="39"/>
        <v>Clean</v>
      </c>
    </row>
    <row r="264" spans="1:29">
      <c r="A264" t="s">
        <v>892</v>
      </c>
      <c r="B264" s="2">
        <v>45803</v>
      </c>
      <c r="C264" s="2">
        <v>45809</v>
      </c>
      <c r="D264" s="3">
        <f t="shared" si="32"/>
        <v>6</v>
      </c>
      <c r="E264" t="s">
        <v>628</v>
      </c>
      <c r="F264" t="s">
        <v>53</v>
      </c>
      <c r="G264" t="s">
        <v>37</v>
      </c>
      <c r="H264" t="s">
        <v>25</v>
      </c>
      <c r="I264" t="s">
        <v>350</v>
      </c>
      <c r="J264" t="s">
        <v>351</v>
      </c>
      <c r="K264" t="s">
        <v>74</v>
      </c>
      <c r="L264" t="s">
        <v>171</v>
      </c>
      <c r="M264" t="s">
        <v>893</v>
      </c>
      <c r="N264" t="s">
        <v>44</v>
      </c>
      <c r="O264">
        <v>4</v>
      </c>
      <c r="P264">
        <v>3349.86</v>
      </c>
      <c r="Q264" s="7">
        <v>0</v>
      </c>
      <c r="R264">
        <v>13399.44</v>
      </c>
      <c r="S264">
        <v>8581.35</v>
      </c>
      <c r="T264">
        <v>4818.09</v>
      </c>
      <c r="U264" t="s">
        <v>111</v>
      </c>
      <c r="V264" t="s">
        <v>103</v>
      </c>
      <c r="W264" s="8">
        <f t="shared" si="33"/>
        <v>0</v>
      </c>
      <c r="X264">
        <f t="shared" si="34"/>
        <v>13399.44</v>
      </c>
      <c r="Y264">
        <f t="shared" si="35"/>
        <v>4818.09</v>
      </c>
      <c r="Z264" s="8">
        <f t="shared" si="36"/>
        <v>0.3595739821962709</v>
      </c>
      <c r="AA264" t="str">
        <f t="shared" si="37"/>
        <v>May</v>
      </c>
      <c r="AB264">
        <f t="shared" si="38"/>
        <v>2025</v>
      </c>
      <c r="AC264" t="str">
        <f t="shared" si="39"/>
        <v>Clean</v>
      </c>
    </row>
    <row r="265" spans="1:29">
      <c r="A265" t="s">
        <v>894</v>
      </c>
      <c r="B265" s="2">
        <v>45875</v>
      </c>
      <c r="C265" s="2">
        <v>45938</v>
      </c>
      <c r="D265" s="3">
        <f t="shared" si="32"/>
        <v>63</v>
      </c>
      <c r="E265" t="s">
        <v>895</v>
      </c>
      <c r="F265" t="s">
        <v>141</v>
      </c>
      <c r="G265" t="s">
        <v>37</v>
      </c>
      <c r="H265" t="s">
        <v>25</v>
      </c>
      <c r="I265" t="s">
        <v>350</v>
      </c>
      <c r="J265" t="s">
        <v>351</v>
      </c>
      <c r="K265" t="s">
        <v>28</v>
      </c>
      <c r="L265" t="s">
        <v>153</v>
      </c>
      <c r="M265" t="s">
        <v>896</v>
      </c>
      <c r="N265" t="s">
        <v>31</v>
      </c>
      <c r="O265">
        <v>9</v>
      </c>
      <c r="P265">
        <v>4042.45</v>
      </c>
      <c r="Q265" s="6">
        <v>0.1</v>
      </c>
      <c r="R265">
        <v>32743.84</v>
      </c>
      <c r="S265">
        <v>22452.05</v>
      </c>
      <c r="T265">
        <v>10291.790000000001</v>
      </c>
      <c r="U265" t="s">
        <v>111</v>
      </c>
      <c r="V265" t="s">
        <v>103</v>
      </c>
      <c r="W265" s="8">
        <f t="shared" si="33"/>
        <v>0.1</v>
      </c>
      <c r="X265">
        <f t="shared" si="34"/>
        <v>32743.844999999998</v>
      </c>
      <c r="Y265">
        <f t="shared" si="35"/>
        <v>10291.794999999998</v>
      </c>
      <c r="Z265" s="8">
        <f t="shared" si="36"/>
        <v>0.314312353970647</v>
      </c>
      <c r="AA265" t="str">
        <f t="shared" si="37"/>
        <v>August</v>
      </c>
      <c r="AB265">
        <f t="shared" si="38"/>
        <v>2025</v>
      </c>
      <c r="AC265" t="str">
        <f t="shared" si="39"/>
        <v>Clean</v>
      </c>
    </row>
    <row r="266" spans="1:29">
      <c r="A266" t="s">
        <v>897</v>
      </c>
      <c r="B266" s="2">
        <v>45428</v>
      </c>
      <c r="C266" s="2">
        <v>45433</v>
      </c>
      <c r="D266" s="3">
        <f t="shared" si="32"/>
        <v>5</v>
      </c>
      <c r="E266" t="s">
        <v>898</v>
      </c>
      <c r="F266" t="s">
        <v>162</v>
      </c>
      <c r="G266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899</v>
      </c>
      <c r="N266" t="s">
        <v>59</v>
      </c>
      <c r="O266">
        <v>4</v>
      </c>
      <c r="P266">
        <v>1503.07</v>
      </c>
      <c r="Q266" s="7">
        <v>0</v>
      </c>
      <c r="R266">
        <v>6012.28</v>
      </c>
      <c r="S266">
        <v>3927.64</v>
      </c>
      <c r="T266">
        <v>2084.64</v>
      </c>
      <c r="U266" t="s">
        <v>32</v>
      </c>
      <c r="V266" t="s">
        <v>33</v>
      </c>
      <c r="W266" s="8">
        <f t="shared" si="33"/>
        <v>0</v>
      </c>
      <c r="X266">
        <f t="shared" si="34"/>
        <v>6012.28</v>
      </c>
      <c r="Y266">
        <f t="shared" si="35"/>
        <v>2084.64</v>
      </c>
      <c r="Z266" s="8">
        <f t="shared" si="36"/>
        <v>0.34673035853286938</v>
      </c>
      <c r="AA266" t="str">
        <f t="shared" si="37"/>
        <v>May</v>
      </c>
      <c r="AB266">
        <f t="shared" si="38"/>
        <v>2024</v>
      </c>
      <c r="AC266" t="str">
        <f t="shared" si="39"/>
        <v>Clean</v>
      </c>
    </row>
    <row r="267" spans="1:29">
      <c r="A267" t="s">
        <v>900</v>
      </c>
      <c r="B267" s="2">
        <v>45610</v>
      </c>
      <c r="C267" s="2">
        <v>45618</v>
      </c>
      <c r="D267" s="3">
        <f t="shared" si="32"/>
        <v>8</v>
      </c>
      <c r="E267" t="s">
        <v>901</v>
      </c>
      <c r="F267" t="s">
        <v>114</v>
      </c>
      <c r="G267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902</v>
      </c>
      <c r="N267" t="s">
        <v>44</v>
      </c>
      <c r="O267">
        <v>1</v>
      </c>
      <c r="P267">
        <v>582.37</v>
      </c>
      <c r="Q267" s="6">
        <v>0.15</v>
      </c>
      <c r="R267">
        <v>495.01</v>
      </c>
      <c r="S267">
        <v>285.13</v>
      </c>
      <c r="T267">
        <v>209.88</v>
      </c>
      <c r="U267" t="s">
        <v>102</v>
      </c>
      <c r="V267" t="s">
        <v>68</v>
      </c>
      <c r="W267" s="8">
        <f t="shared" si="33"/>
        <v>0.15</v>
      </c>
      <c r="X267">
        <f t="shared" si="34"/>
        <v>495.0145</v>
      </c>
      <c r="Y267">
        <f t="shared" si="35"/>
        <v>209.8845</v>
      </c>
      <c r="Z267" s="8">
        <f t="shared" si="36"/>
        <v>0.42399667080459258</v>
      </c>
      <c r="AA267" t="str">
        <f t="shared" si="37"/>
        <v>November</v>
      </c>
      <c r="AB267">
        <f t="shared" si="38"/>
        <v>2024</v>
      </c>
      <c r="AC267" t="str">
        <f t="shared" si="39"/>
        <v>Clean</v>
      </c>
    </row>
    <row r="268" spans="1:29">
      <c r="A268" t="s">
        <v>903</v>
      </c>
      <c r="B268" s="2">
        <v>45780</v>
      </c>
      <c r="C268" s="2">
        <v>45787</v>
      </c>
      <c r="D268" s="3">
        <f t="shared" si="32"/>
        <v>7</v>
      </c>
      <c r="E268" t="s">
        <v>904</v>
      </c>
      <c r="F268" t="s">
        <v>79</v>
      </c>
      <c r="G268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905</v>
      </c>
      <c r="N268" t="s">
        <v>31</v>
      </c>
      <c r="O268">
        <v>3</v>
      </c>
      <c r="P268">
        <v>4339.24</v>
      </c>
      <c r="Q268" s="7">
        <v>0</v>
      </c>
      <c r="R268">
        <v>13017.72</v>
      </c>
      <c r="S268">
        <v>10170.57</v>
      </c>
      <c r="T268">
        <v>2847.15</v>
      </c>
      <c r="U268" t="s">
        <v>32</v>
      </c>
      <c r="V268" t="s">
        <v>33</v>
      </c>
      <c r="W268" s="8">
        <f t="shared" si="33"/>
        <v>0</v>
      </c>
      <c r="X268">
        <f t="shared" si="34"/>
        <v>13017.72</v>
      </c>
      <c r="Y268">
        <f t="shared" si="35"/>
        <v>2847.1499999999996</v>
      </c>
      <c r="Z268" s="8">
        <f t="shared" si="36"/>
        <v>0.21871341525244051</v>
      </c>
      <c r="AA268" t="str">
        <f t="shared" si="37"/>
        <v>May</v>
      </c>
      <c r="AB268">
        <f t="shared" si="38"/>
        <v>2025</v>
      </c>
      <c r="AC268" t="str">
        <f t="shared" si="39"/>
        <v>Clean</v>
      </c>
    </row>
    <row r="269" spans="1:29">
      <c r="A269" t="s">
        <v>906</v>
      </c>
      <c r="B269" s="2">
        <v>45805</v>
      </c>
      <c r="C269" s="2">
        <v>45753</v>
      </c>
      <c r="D269" s="5">
        <f t="shared" si="32"/>
        <v>-52</v>
      </c>
      <c r="E269" t="s">
        <v>907</v>
      </c>
      <c r="F269" t="s">
        <v>162</v>
      </c>
      <c r="G269" t="s">
        <v>90</v>
      </c>
      <c r="H269" t="s">
        <v>38</v>
      </c>
      <c r="I269" t="s">
        <v>228</v>
      </c>
      <c r="J269" t="s">
        <v>229</v>
      </c>
      <c r="K269" t="s">
        <v>41</v>
      </c>
      <c r="L269" t="s">
        <v>57</v>
      </c>
      <c r="M269" t="s">
        <v>908</v>
      </c>
      <c r="N269" t="s">
        <v>50</v>
      </c>
      <c r="O269">
        <v>4</v>
      </c>
      <c r="P269">
        <v>261.8</v>
      </c>
      <c r="Q269" s="6">
        <v>0.25</v>
      </c>
      <c r="R269">
        <v>785.4</v>
      </c>
      <c r="S269">
        <v>557.22</v>
      </c>
      <c r="T269">
        <v>228.18</v>
      </c>
      <c r="U269" t="s">
        <v>32</v>
      </c>
      <c r="V269" t="s">
        <v>33</v>
      </c>
      <c r="W269" s="8">
        <f t="shared" si="33"/>
        <v>0.25</v>
      </c>
      <c r="X269">
        <f t="shared" si="34"/>
        <v>785.40000000000009</v>
      </c>
      <c r="Y269">
        <f t="shared" si="35"/>
        <v>228.18000000000006</v>
      </c>
      <c r="Z269" s="8">
        <f t="shared" si="36"/>
        <v>0.29052711993888469</v>
      </c>
      <c r="AA269" t="str">
        <f t="shared" si="37"/>
        <v>May</v>
      </c>
      <c r="AB269">
        <f t="shared" si="38"/>
        <v>2025</v>
      </c>
      <c r="AC269" t="str">
        <f t="shared" si="39"/>
        <v>Warning</v>
      </c>
    </row>
    <row r="270" spans="1:29">
      <c r="A270" t="s">
        <v>909</v>
      </c>
      <c r="B270" s="2">
        <v>45886</v>
      </c>
      <c r="C270" s="2">
        <v>45886</v>
      </c>
      <c r="D270" s="3">
        <f t="shared" si="32"/>
        <v>0</v>
      </c>
      <c r="E270" t="s">
        <v>910</v>
      </c>
      <c r="F270" t="s">
        <v>128</v>
      </c>
      <c r="G270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911</v>
      </c>
      <c r="N270" t="s">
        <v>50</v>
      </c>
      <c r="O270">
        <v>7</v>
      </c>
      <c r="P270">
        <v>632.20000000000005</v>
      </c>
      <c r="Q270" s="6">
        <v>0.25</v>
      </c>
      <c r="R270">
        <v>3319.05</v>
      </c>
      <c r="S270">
        <v>2124.6</v>
      </c>
      <c r="T270">
        <v>1194.45</v>
      </c>
      <c r="U270" t="s">
        <v>32</v>
      </c>
      <c r="V270" t="s">
        <v>33</v>
      </c>
      <c r="W270" s="8">
        <f t="shared" si="33"/>
        <v>0.25</v>
      </c>
      <c r="X270">
        <f t="shared" si="34"/>
        <v>3319.05</v>
      </c>
      <c r="Y270">
        <f t="shared" si="35"/>
        <v>1194.4500000000003</v>
      </c>
      <c r="Z270" s="8">
        <f t="shared" si="36"/>
        <v>0.35987707325891449</v>
      </c>
      <c r="AA270" t="str">
        <f t="shared" si="37"/>
        <v>August</v>
      </c>
      <c r="AB270">
        <f t="shared" si="38"/>
        <v>2025</v>
      </c>
      <c r="AC270" t="str">
        <f t="shared" si="39"/>
        <v>Clean</v>
      </c>
    </row>
    <row r="271" spans="1:29">
      <c r="A271" t="s">
        <v>912</v>
      </c>
      <c r="B271" s="2">
        <v>45698</v>
      </c>
      <c r="C271" s="2">
        <v>45700</v>
      </c>
      <c r="D271" s="3">
        <f t="shared" si="32"/>
        <v>2</v>
      </c>
      <c r="E271" t="s">
        <v>913</v>
      </c>
      <c r="F271" t="s">
        <v>118</v>
      </c>
      <c r="G271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914</v>
      </c>
      <c r="N271" t="s">
        <v>44</v>
      </c>
      <c r="O271">
        <v>1</v>
      </c>
      <c r="P271">
        <v>1925.86</v>
      </c>
      <c r="Q271" s="7">
        <v>0</v>
      </c>
      <c r="R271">
        <v>1925.86</v>
      </c>
      <c r="S271">
        <v>1321.89</v>
      </c>
      <c r="T271">
        <v>603.97</v>
      </c>
      <c r="U271" t="s">
        <v>32</v>
      </c>
      <c r="V271" t="s">
        <v>33</v>
      </c>
      <c r="W271" s="8">
        <f t="shared" si="33"/>
        <v>0</v>
      </c>
      <c r="X271">
        <f t="shared" si="34"/>
        <v>1925.86</v>
      </c>
      <c r="Y271">
        <f t="shared" si="35"/>
        <v>603.9699999999998</v>
      </c>
      <c r="Z271" s="8">
        <f t="shared" si="36"/>
        <v>0.31361054282242729</v>
      </c>
      <c r="AA271" t="str">
        <f t="shared" si="37"/>
        <v>February</v>
      </c>
      <c r="AB271">
        <f t="shared" si="38"/>
        <v>2025</v>
      </c>
      <c r="AC271" t="str">
        <f t="shared" si="39"/>
        <v>Clean</v>
      </c>
    </row>
    <row r="272" spans="1:29">
      <c r="A272" t="s">
        <v>915</v>
      </c>
      <c r="B272" s="2">
        <v>45303</v>
      </c>
      <c r="C272" s="2">
        <v>45304</v>
      </c>
      <c r="D272" s="3">
        <f t="shared" si="32"/>
        <v>1</v>
      </c>
      <c r="E272" t="s">
        <v>916</v>
      </c>
      <c r="F272" t="s">
        <v>89</v>
      </c>
      <c r="G272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274</v>
      </c>
      <c r="M272" t="s">
        <v>917</v>
      </c>
      <c r="N272" t="s">
        <v>44</v>
      </c>
      <c r="O272">
        <v>3</v>
      </c>
      <c r="P272">
        <v>827.44</v>
      </c>
      <c r="Q272" s="7">
        <v>0</v>
      </c>
      <c r="R272">
        <v>2482.3200000000002</v>
      </c>
      <c r="S272">
        <v>1520.21</v>
      </c>
      <c r="T272">
        <v>962.11</v>
      </c>
      <c r="U272" t="s">
        <v>32</v>
      </c>
      <c r="V272" t="s">
        <v>33</v>
      </c>
      <c r="W272" s="8">
        <f t="shared" si="33"/>
        <v>0</v>
      </c>
      <c r="X272">
        <f t="shared" si="34"/>
        <v>2482.3200000000002</v>
      </c>
      <c r="Y272">
        <f t="shared" si="35"/>
        <v>962.11000000000013</v>
      </c>
      <c r="Z272" s="8">
        <f t="shared" si="36"/>
        <v>0.38758500112797706</v>
      </c>
      <c r="AA272" t="str">
        <f t="shared" si="37"/>
        <v>January</v>
      </c>
      <c r="AB272">
        <f t="shared" si="38"/>
        <v>2024</v>
      </c>
      <c r="AC272" t="str">
        <f t="shared" si="39"/>
        <v>Clean</v>
      </c>
    </row>
    <row r="273" spans="1:29">
      <c r="A273" t="s">
        <v>918</v>
      </c>
      <c r="B273" s="2">
        <v>45647</v>
      </c>
      <c r="C273" s="2">
        <v>45651</v>
      </c>
      <c r="D273" s="3">
        <f t="shared" si="32"/>
        <v>4</v>
      </c>
      <c r="E273" t="s">
        <v>919</v>
      </c>
      <c r="F273" t="s">
        <v>89</v>
      </c>
      <c r="G273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920</v>
      </c>
      <c r="N273" t="s">
        <v>59</v>
      </c>
      <c r="O273">
        <v>7</v>
      </c>
      <c r="P273">
        <v>1667.75</v>
      </c>
      <c r="Q273" s="7">
        <v>0</v>
      </c>
      <c r="R273">
        <v>11674.25</v>
      </c>
      <c r="S273">
        <v>9621.19</v>
      </c>
      <c r="T273">
        <v>2053.06</v>
      </c>
      <c r="U273" t="s">
        <v>155</v>
      </c>
      <c r="V273" t="s">
        <v>68</v>
      </c>
      <c r="W273" s="8">
        <f t="shared" si="33"/>
        <v>0</v>
      </c>
      <c r="X273">
        <f t="shared" si="34"/>
        <v>11674.25</v>
      </c>
      <c r="Y273">
        <f t="shared" si="35"/>
        <v>2053.0599999999995</v>
      </c>
      <c r="Z273" s="8">
        <f t="shared" si="36"/>
        <v>0.17586226095894808</v>
      </c>
      <c r="AA273" t="str">
        <f t="shared" si="37"/>
        <v>December</v>
      </c>
      <c r="AB273">
        <f t="shared" si="38"/>
        <v>2024</v>
      </c>
      <c r="AC273" t="str">
        <f t="shared" si="39"/>
        <v>Clean</v>
      </c>
    </row>
    <row r="274" spans="1:29">
      <c r="A274" s="4" t="s">
        <v>921</v>
      </c>
      <c r="B274" s="2">
        <v>45522</v>
      </c>
      <c r="C274" s="2">
        <v>45528</v>
      </c>
      <c r="D274" s="3">
        <f t="shared" si="32"/>
        <v>6</v>
      </c>
      <c r="E274" t="s">
        <v>922</v>
      </c>
      <c r="F274" t="s">
        <v>53</v>
      </c>
      <c r="G274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923</v>
      </c>
      <c r="N274" t="s">
        <v>50</v>
      </c>
      <c r="O274">
        <v>7</v>
      </c>
      <c r="P274">
        <v>557.21</v>
      </c>
      <c r="Q274" s="6">
        <v>0.1</v>
      </c>
      <c r="R274">
        <v>3510.42</v>
      </c>
      <c r="S274">
        <v>2191.5</v>
      </c>
      <c r="T274">
        <v>1213.48</v>
      </c>
      <c r="U274" t="s">
        <v>32</v>
      </c>
      <c r="V274" t="s">
        <v>33</v>
      </c>
      <c r="W274" s="8">
        <f t="shared" si="33"/>
        <v>0.1</v>
      </c>
      <c r="X274">
        <f t="shared" si="34"/>
        <v>3510.4230000000002</v>
      </c>
      <c r="Y274">
        <f t="shared" si="35"/>
        <v>1318.9230000000002</v>
      </c>
      <c r="Z274" s="8">
        <f t="shared" si="36"/>
        <v>0.37571625983535323</v>
      </c>
      <c r="AA274" t="str">
        <f t="shared" si="37"/>
        <v>August</v>
      </c>
      <c r="AB274">
        <f t="shared" si="38"/>
        <v>2024</v>
      </c>
      <c r="AC274" t="str">
        <f t="shared" si="39"/>
        <v>Clean</v>
      </c>
    </row>
    <row r="275" spans="1:29">
      <c r="A275" t="s">
        <v>924</v>
      </c>
      <c r="B275" s="2">
        <v>45701</v>
      </c>
      <c r="C275" s="2">
        <v>45701</v>
      </c>
      <c r="D275" s="3">
        <f t="shared" si="32"/>
        <v>0</v>
      </c>
      <c r="E275" t="s">
        <v>925</v>
      </c>
      <c r="F275" t="s">
        <v>47</v>
      </c>
      <c r="G27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926</v>
      </c>
      <c r="N275" t="s">
        <v>31</v>
      </c>
      <c r="O275">
        <v>9</v>
      </c>
      <c r="P275">
        <v>2521.63</v>
      </c>
      <c r="Q275" s="7">
        <v>0</v>
      </c>
      <c r="R275">
        <v>22694.67</v>
      </c>
      <c r="S275">
        <v>15405.36</v>
      </c>
      <c r="T275">
        <v>7289.31</v>
      </c>
      <c r="U275" t="s">
        <v>32</v>
      </c>
      <c r="V275" t="s">
        <v>103</v>
      </c>
      <c r="W275" s="8">
        <f t="shared" si="33"/>
        <v>0</v>
      </c>
      <c r="X275">
        <f t="shared" si="34"/>
        <v>22694.670000000002</v>
      </c>
      <c r="Y275">
        <f t="shared" si="35"/>
        <v>7289.3100000000013</v>
      </c>
      <c r="Z275" s="8">
        <f t="shared" si="36"/>
        <v>0.32119039404406413</v>
      </c>
      <c r="AA275" t="str">
        <f t="shared" si="37"/>
        <v>February</v>
      </c>
      <c r="AB275">
        <f t="shared" si="38"/>
        <v>2025</v>
      </c>
      <c r="AC275" t="str">
        <f t="shared" si="39"/>
        <v>Clean</v>
      </c>
    </row>
    <row r="276" spans="1:29">
      <c r="A276" t="s">
        <v>927</v>
      </c>
      <c r="B276" s="2">
        <v>45477</v>
      </c>
      <c r="C276" s="2">
        <v>45396</v>
      </c>
      <c r="D276" s="5">
        <f t="shared" si="32"/>
        <v>-81</v>
      </c>
      <c r="E276" t="s">
        <v>928</v>
      </c>
      <c r="F276" t="s">
        <v>141</v>
      </c>
      <c r="G276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929</v>
      </c>
      <c r="N276" t="s">
        <v>59</v>
      </c>
      <c r="O276">
        <v>6</v>
      </c>
      <c r="P276">
        <v>4246.71</v>
      </c>
      <c r="Q276" s="6">
        <v>0.15</v>
      </c>
      <c r="R276">
        <v>21658.22</v>
      </c>
      <c r="S276">
        <v>15490.69</v>
      </c>
      <c r="T276">
        <v>6167.53</v>
      </c>
      <c r="U276" t="s">
        <v>155</v>
      </c>
      <c r="V276" t="s">
        <v>103</v>
      </c>
      <c r="W276" s="8">
        <f t="shared" si="33"/>
        <v>0.15</v>
      </c>
      <c r="X276">
        <f t="shared" si="34"/>
        <v>21658.221000000001</v>
      </c>
      <c r="Y276">
        <f t="shared" si="35"/>
        <v>6167.5310000000009</v>
      </c>
      <c r="Z276" s="8">
        <f t="shared" si="36"/>
        <v>0.28476627881856043</v>
      </c>
      <c r="AA276" t="str">
        <f t="shared" si="37"/>
        <v>July</v>
      </c>
      <c r="AB276">
        <f t="shared" si="38"/>
        <v>2024</v>
      </c>
      <c r="AC276" t="str">
        <f t="shared" si="39"/>
        <v>Warning</v>
      </c>
    </row>
    <row r="277" spans="1:29">
      <c r="A277" t="s">
        <v>930</v>
      </c>
      <c r="B277" s="2">
        <v>45337</v>
      </c>
      <c r="C277" s="2">
        <v>45344</v>
      </c>
      <c r="D277" s="3">
        <f t="shared" si="32"/>
        <v>7</v>
      </c>
      <c r="E277" t="s">
        <v>931</v>
      </c>
      <c r="F277" t="s">
        <v>114</v>
      </c>
      <c r="G277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932</v>
      </c>
      <c r="N277" t="s">
        <v>44</v>
      </c>
      <c r="O277">
        <v>1</v>
      </c>
      <c r="P277">
        <v>980.51</v>
      </c>
      <c r="Q277" s="7">
        <v>0</v>
      </c>
      <c r="R277">
        <v>980.51</v>
      </c>
      <c r="S277">
        <v>660.92</v>
      </c>
      <c r="T277">
        <v>319.58999999999997</v>
      </c>
      <c r="U277" t="s">
        <v>32</v>
      </c>
      <c r="V277" t="s">
        <v>33</v>
      </c>
      <c r="W277" s="8">
        <f t="shared" si="33"/>
        <v>0</v>
      </c>
      <c r="X277">
        <f t="shared" si="34"/>
        <v>980.51</v>
      </c>
      <c r="Y277">
        <f t="shared" si="35"/>
        <v>319.59000000000003</v>
      </c>
      <c r="Z277" s="8">
        <f t="shared" si="36"/>
        <v>0.32594262169687205</v>
      </c>
      <c r="AA277" t="str">
        <f t="shared" si="37"/>
        <v>February</v>
      </c>
      <c r="AB277">
        <f t="shared" si="38"/>
        <v>2024</v>
      </c>
      <c r="AC277" t="str">
        <f t="shared" si="39"/>
        <v>Clean</v>
      </c>
    </row>
    <row r="278" spans="1:29">
      <c r="A278" t="s">
        <v>933</v>
      </c>
      <c r="B278" s="2">
        <v>45313</v>
      </c>
      <c r="C278" s="2">
        <v>45314</v>
      </c>
      <c r="D278" s="3">
        <f t="shared" si="32"/>
        <v>1</v>
      </c>
      <c r="E278" t="s">
        <v>934</v>
      </c>
      <c r="F278" t="s">
        <v>128</v>
      </c>
      <c r="G278" t="s">
        <v>37</v>
      </c>
      <c r="H278" s="4" t="s">
        <v>2760</v>
      </c>
      <c r="I278" t="s">
        <v>166</v>
      </c>
      <c r="J278" t="s">
        <v>167</v>
      </c>
      <c r="K278" t="s">
        <v>41</v>
      </c>
      <c r="L278" t="s">
        <v>66</v>
      </c>
      <c r="M278" t="s">
        <v>935</v>
      </c>
      <c r="N278" t="s">
        <v>31</v>
      </c>
      <c r="O278">
        <v>6</v>
      </c>
      <c r="P278">
        <v>3391.53</v>
      </c>
      <c r="Q278" s="7">
        <v>-0.14000000000000001</v>
      </c>
      <c r="R278">
        <v>15261.89</v>
      </c>
      <c r="S278">
        <v>8413.5300000000007</v>
      </c>
      <c r="T278">
        <v>6848.36</v>
      </c>
      <c r="U278" t="s">
        <v>32</v>
      </c>
      <c r="V278" t="s">
        <v>33</v>
      </c>
      <c r="W278" s="8">
        <f t="shared" si="33"/>
        <v>-0.14000000000000001</v>
      </c>
      <c r="X278">
        <f t="shared" si="34"/>
        <v>23198.065200000005</v>
      </c>
      <c r="Y278">
        <f t="shared" si="35"/>
        <v>14784.535200000004</v>
      </c>
      <c r="Z278" s="8">
        <f t="shared" si="36"/>
        <v>0.63731759836591895</v>
      </c>
      <c r="AA278" t="str">
        <f t="shared" si="37"/>
        <v>January</v>
      </c>
      <c r="AB278">
        <f t="shared" si="38"/>
        <v>2024</v>
      </c>
      <c r="AC278" t="str">
        <f t="shared" si="39"/>
        <v>Invalid</v>
      </c>
    </row>
    <row r="279" spans="1:29">
      <c r="A279" t="s">
        <v>936</v>
      </c>
      <c r="B279" s="2">
        <v>45812</v>
      </c>
      <c r="C279" s="2">
        <v>45812</v>
      </c>
      <c r="D279" s="3">
        <f t="shared" si="32"/>
        <v>0</v>
      </c>
      <c r="E279" t="s">
        <v>788</v>
      </c>
      <c r="F279" t="s">
        <v>47</v>
      </c>
      <c r="G279" t="s">
        <v>90</v>
      </c>
      <c r="H279" t="s">
        <v>25</v>
      </c>
      <c r="I279" t="s">
        <v>236</v>
      </c>
      <c r="J279" t="s">
        <v>237</v>
      </c>
      <c r="K279" t="s">
        <v>74</v>
      </c>
      <c r="L279" t="s">
        <v>75</v>
      </c>
      <c r="M279" t="s">
        <v>937</v>
      </c>
      <c r="N279" t="s">
        <v>31</v>
      </c>
      <c r="O279">
        <v>1</v>
      </c>
      <c r="P279">
        <v>2133.73</v>
      </c>
      <c r="Q279" s="6">
        <v>0.15</v>
      </c>
      <c r="R279">
        <v>2008.39</v>
      </c>
      <c r="S279">
        <v>1002.57</v>
      </c>
      <c r="T279">
        <v>811.1</v>
      </c>
      <c r="U279" t="s">
        <v>111</v>
      </c>
      <c r="V279" t="s">
        <v>68</v>
      </c>
      <c r="W279" s="8">
        <f t="shared" si="33"/>
        <v>0.15</v>
      </c>
      <c r="X279">
        <f t="shared" si="34"/>
        <v>1813.6704999999999</v>
      </c>
      <c r="Y279">
        <f t="shared" si="35"/>
        <v>811.1004999999999</v>
      </c>
      <c r="Z279" s="8">
        <f t="shared" si="36"/>
        <v>0.4472149158295291</v>
      </c>
      <c r="AA279" t="str">
        <f t="shared" si="37"/>
        <v>June</v>
      </c>
      <c r="AB279">
        <f t="shared" si="38"/>
        <v>2025</v>
      </c>
      <c r="AC279" t="str">
        <f t="shared" si="39"/>
        <v>Clean</v>
      </c>
    </row>
    <row r="280" spans="1:29">
      <c r="A280" t="s">
        <v>938</v>
      </c>
      <c r="B280" s="2">
        <v>45841</v>
      </c>
      <c r="C280" s="2">
        <v>45730</v>
      </c>
      <c r="D280" s="5">
        <f t="shared" si="32"/>
        <v>-111</v>
      </c>
      <c r="E280" t="s">
        <v>939</v>
      </c>
      <c r="F280" t="s">
        <v>114</v>
      </c>
      <c r="G280" t="s">
        <v>37</v>
      </c>
      <c r="H280" t="s">
        <v>25</v>
      </c>
      <c r="I280" t="s">
        <v>350</v>
      </c>
      <c r="J280" t="s">
        <v>351</v>
      </c>
      <c r="K280" t="s">
        <v>74</v>
      </c>
      <c r="L280" t="s">
        <v>75</v>
      </c>
      <c r="M280" t="s">
        <v>940</v>
      </c>
      <c r="N280" t="s">
        <v>44</v>
      </c>
      <c r="O280">
        <v>1</v>
      </c>
      <c r="P280">
        <v>3979.64</v>
      </c>
      <c r="Q280" s="6">
        <v>0.05</v>
      </c>
      <c r="R280">
        <v>3780.66</v>
      </c>
      <c r="S280">
        <v>2148.31</v>
      </c>
      <c r="T280">
        <v>1632.35</v>
      </c>
      <c r="U280" t="s">
        <v>32</v>
      </c>
      <c r="V280" t="s">
        <v>103</v>
      </c>
      <c r="W280" s="8">
        <f t="shared" si="33"/>
        <v>0.05</v>
      </c>
      <c r="X280">
        <f t="shared" si="34"/>
        <v>3780.6579999999999</v>
      </c>
      <c r="Y280">
        <f t="shared" si="35"/>
        <v>1632.348</v>
      </c>
      <c r="Z280" s="8">
        <f t="shared" si="36"/>
        <v>0.43176293650470365</v>
      </c>
      <c r="AA280" t="str">
        <f t="shared" si="37"/>
        <v>July</v>
      </c>
      <c r="AB280">
        <f t="shared" si="38"/>
        <v>2025</v>
      </c>
      <c r="AC280" t="str">
        <f t="shared" si="39"/>
        <v>Warning</v>
      </c>
    </row>
    <row r="281" spans="1:29">
      <c r="A281" t="s">
        <v>941</v>
      </c>
      <c r="B281" s="2">
        <v>45391</v>
      </c>
      <c r="C281" s="2">
        <v>45392</v>
      </c>
      <c r="D281" s="3">
        <f t="shared" si="32"/>
        <v>1</v>
      </c>
      <c r="E281" t="s">
        <v>942</v>
      </c>
      <c r="F281" t="s">
        <v>141</v>
      </c>
      <c r="G281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943</v>
      </c>
      <c r="N281" t="s">
        <v>50</v>
      </c>
      <c r="O281">
        <v>1</v>
      </c>
      <c r="P281">
        <v>4359.12</v>
      </c>
      <c r="Q281" s="6">
        <v>0.05</v>
      </c>
      <c r="R281">
        <v>4141.16</v>
      </c>
      <c r="S281">
        <v>2754.17</v>
      </c>
      <c r="T281">
        <v>1386.99</v>
      </c>
      <c r="U281" t="s">
        <v>32</v>
      </c>
      <c r="V281" t="s">
        <v>33</v>
      </c>
      <c r="W281" s="8">
        <f t="shared" si="33"/>
        <v>0.05</v>
      </c>
      <c r="X281">
        <f t="shared" si="34"/>
        <v>4141.1639999999998</v>
      </c>
      <c r="Y281">
        <f t="shared" si="35"/>
        <v>1386.9939999999997</v>
      </c>
      <c r="Z281" s="8">
        <f t="shared" si="36"/>
        <v>0.33492853700070796</v>
      </c>
      <c r="AA281" t="str">
        <f t="shared" si="37"/>
        <v>April</v>
      </c>
      <c r="AB281">
        <f t="shared" si="38"/>
        <v>2024</v>
      </c>
      <c r="AC281" t="str">
        <f t="shared" si="39"/>
        <v>Clean</v>
      </c>
    </row>
    <row r="282" spans="1:29">
      <c r="A282" t="s">
        <v>944</v>
      </c>
      <c r="B282" s="2">
        <v>45649</v>
      </c>
      <c r="C282" s="2">
        <v>45652</v>
      </c>
      <c r="D282" s="3">
        <f t="shared" si="32"/>
        <v>3</v>
      </c>
      <c r="E282" t="s">
        <v>945</v>
      </c>
      <c r="F282" t="s">
        <v>89</v>
      </c>
      <c r="G282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946</v>
      </c>
      <c r="N282" t="s">
        <v>59</v>
      </c>
      <c r="O282">
        <v>9</v>
      </c>
      <c r="P282">
        <v>993.67</v>
      </c>
      <c r="Q282" s="7">
        <v>0</v>
      </c>
      <c r="R282">
        <v>8943.0300000000007</v>
      </c>
      <c r="S282">
        <v>5165.38</v>
      </c>
      <c r="T282">
        <v>3777.65</v>
      </c>
      <c r="U282" t="s">
        <v>32</v>
      </c>
      <c r="V282" t="s">
        <v>33</v>
      </c>
      <c r="W282" s="8">
        <f t="shared" si="33"/>
        <v>0</v>
      </c>
      <c r="X282">
        <f t="shared" si="34"/>
        <v>8943.0299999999988</v>
      </c>
      <c r="Y282">
        <f t="shared" si="35"/>
        <v>3777.6499999999987</v>
      </c>
      <c r="Z282" s="8">
        <f t="shared" si="36"/>
        <v>0.42241276167026154</v>
      </c>
      <c r="AA282" t="str">
        <f t="shared" si="37"/>
        <v>December</v>
      </c>
      <c r="AB282">
        <f t="shared" si="38"/>
        <v>2024</v>
      </c>
      <c r="AC282" t="str">
        <f t="shared" si="39"/>
        <v>Clean</v>
      </c>
    </row>
    <row r="283" spans="1:29">
      <c r="A283" t="s">
        <v>947</v>
      </c>
      <c r="B283" s="2">
        <v>45863</v>
      </c>
      <c r="C283" s="2">
        <v>45865</v>
      </c>
      <c r="D283" s="3">
        <f t="shared" si="32"/>
        <v>2</v>
      </c>
      <c r="E283" t="s">
        <v>948</v>
      </c>
      <c r="F283" t="s">
        <v>264</v>
      </c>
      <c r="G283" t="s">
        <v>24</v>
      </c>
      <c r="H283" t="s">
        <v>38</v>
      </c>
      <c r="I283" t="s">
        <v>228</v>
      </c>
      <c r="J283" t="s">
        <v>229</v>
      </c>
      <c r="K283" t="s">
        <v>28</v>
      </c>
      <c r="L283" t="s">
        <v>153</v>
      </c>
      <c r="M283" t="s">
        <v>949</v>
      </c>
      <c r="N283" t="s">
        <v>31</v>
      </c>
      <c r="O283">
        <v>6</v>
      </c>
      <c r="P283">
        <v>3438.38</v>
      </c>
      <c r="Q283" s="6">
        <v>0.2</v>
      </c>
      <c r="R283">
        <v>16504.22</v>
      </c>
      <c r="S283">
        <v>11262.71</v>
      </c>
      <c r="T283">
        <v>5241.51</v>
      </c>
      <c r="U283" t="s">
        <v>32</v>
      </c>
      <c r="V283" t="s">
        <v>33</v>
      </c>
      <c r="W283" s="8">
        <f t="shared" si="33"/>
        <v>0.2</v>
      </c>
      <c r="X283">
        <f t="shared" si="34"/>
        <v>16504.223999999998</v>
      </c>
      <c r="Y283">
        <f t="shared" si="35"/>
        <v>5241.5139999999992</v>
      </c>
      <c r="Z283" s="8">
        <f t="shared" si="36"/>
        <v>0.31758621308096641</v>
      </c>
      <c r="AA283" t="str">
        <f t="shared" si="37"/>
        <v>July</v>
      </c>
      <c r="AB283">
        <f t="shared" si="38"/>
        <v>2025</v>
      </c>
      <c r="AC283" t="str">
        <f t="shared" si="39"/>
        <v>Clean</v>
      </c>
    </row>
    <row r="284" spans="1:29">
      <c r="A284" t="s">
        <v>950</v>
      </c>
      <c r="B284" s="2">
        <v>45566</v>
      </c>
      <c r="C284" s="2">
        <v>45567</v>
      </c>
      <c r="D284" s="3">
        <f t="shared" si="32"/>
        <v>1</v>
      </c>
      <c r="E284" t="s">
        <v>951</v>
      </c>
      <c r="F284" t="s">
        <v>23</v>
      </c>
      <c r="G284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952</v>
      </c>
      <c r="N284" t="s">
        <v>31</v>
      </c>
      <c r="O284">
        <v>2</v>
      </c>
      <c r="P284">
        <v>2298</v>
      </c>
      <c r="Q284" s="7">
        <v>0</v>
      </c>
      <c r="R284">
        <v>4596</v>
      </c>
      <c r="S284">
        <v>3220.33</v>
      </c>
      <c r="T284">
        <v>1375.67</v>
      </c>
      <c r="U284" t="s">
        <v>32</v>
      </c>
      <c r="V284" t="s">
        <v>33</v>
      </c>
      <c r="W284" s="8">
        <f t="shared" si="33"/>
        <v>0</v>
      </c>
      <c r="X284">
        <f t="shared" si="34"/>
        <v>4596</v>
      </c>
      <c r="Y284">
        <f t="shared" si="35"/>
        <v>1375.67</v>
      </c>
      <c r="Z284" s="8">
        <f t="shared" si="36"/>
        <v>0.29931897302001742</v>
      </c>
      <c r="AA284" t="str">
        <f t="shared" si="37"/>
        <v>October</v>
      </c>
      <c r="AB284">
        <f t="shared" si="38"/>
        <v>2024</v>
      </c>
      <c r="AC284" t="str">
        <f t="shared" si="39"/>
        <v>Clean</v>
      </c>
    </row>
    <row r="285" spans="1:29">
      <c r="A285" t="s">
        <v>953</v>
      </c>
      <c r="B285" s="2">
        <v>45729</v>
      </c>
      <c r="C285" s="2">
        <v>45736</v>
      </c>
      <c r="D285" s="3">
        <f t="shared" si="32"/>
        <v>7</v>
      </c>
      <c r="E285" t="s">
        <v>954</v>
      </c>
      <c r="F285" t="s">
        <v>71</v>
      </c>
      <c r="G28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955</v>
      </c>
      <c r="N285" t="s">
        <v>50</v>
      </c>
      <c r="O285">
        <v>1</v>
      </c>
      <c r="P285">
        <v>1814.01</v>
      </c>
      <c r="Q285" s="7">
        <v>0</v>
      </c>
      <c r="R285">
        <v>1814.01</v>
      </c>
      <c r="S285">
        <v>1033.47</v>
      </c>
      <c r="T285">
        <v>780.54</v>
      </c>
      <c r="U285" t="s">
        <v>32</v>
      </c>
      <c r="V285" t="s">
        <v>33</v>
      </c>
      <c r="W285" s="8">
        <f t="shared" si="33"/>
        <v>0</v>
      </c>
      <c r="X285">
        <f t="shared" si="34"/>
        <v>1814.01</v>
      </c>
      <c r="Y285">
        <f t="shared" si="35"/>
        <v>780.54</v>
      </c>
      <c r="Z285" s="8">
        <f t="shared" si="36"/>
        <v>0.43028428729720342</v>
      </c>
      <c r="AA285" t="str">
        <f t="shared" si="37"/>
        <v>March</v>
      </c>
      <c r="AB285">
        <f t="shared" si="38"/>
        <v>2025</v>
      </c>
      <c r="AC285" t="str">
        <f t="shared" si="39"/>
        <v>Clean</v>
      </c>
    </row>
    <row r="286" spans="1:29">
      <c r="A286" t="s">
        <v>956</v>
      </c>
      <c r="B286" s="2">
        <v>45634</v>
      </c>
      <c r="C286" s="2">
        <v>45640</v>
      </c>
      <c r="D286" s="3">
        <f t="shared" si="32"/>
        <v>6</v>
      </c>
      <c r="E286" t="s">
        <v>957</v>
      </c>
      <c r="F286" t="s">
        <v>23</v>
      </c>
      <c r="G286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958</v>
      </c>
      <c r="N286" t="s">
        <v>44</v>
      </c>
      <c r="O286">
        <v>3</v>
      </c>
      <c r="P286">
        <v>1576.92</v>
      </c>
      <c r="Q286" s="7">
        <v>0</v>
      </c>
      <c r="R286">
        <v>4730.76</v>
      </c>
      <c r="S286">
        <v>3139.73</v>
      </c>
      <c r="T286">
        <v>1591.03</v>
      </c>
      <c r="U286" t="s">
        <v>32</v>
      </c>
      <c r="V286" t="s">
        <v>103</v>
      </c>
      <c r="W286" s="8">
        <f t="shared" si="33"/>
        <v>0</v>
      </c>
      <c r="X286">
        <f t="shared" si="34"/>
        <v>4730.76</v>
      </c>
      <c r="Y286">
        <f t="shared" si="35"/>
        <v>1591.0300000000002</v>
      </c>
      <c r="Z286" s="8">
        <f t="shared" si="36"/>
        <v>0.33631594077907145</v>
      </c>
      <c r="AA286" t="str">
        <f t="shared" si="37"/>
        <v>December</v>
      </c>
      <c r="AB286">
        <f t="shared" si="38"/>
        <v>2024</v>
      </c>
      <c r="AC286" t="str">
        <f t="shared" si="39"/>
        <v>Clean</v>
      </c>
    </row>
    <row r="287" spans="1:29">
      <c r="A287" t="s">
        <v>959</v>
      </c>
      <c r="B287" s="2">
        <v>45884</v>
      </c>
      <c r="C287" s="2">
        <v>45889</v>
      </c>
      <c r="D287" s="3">
        <f t="shared" si="32"/>
        <v>5</v>
      </c>
      <c r="E287" t="s">
        <v>960</v>
      </c>
      <c r="F287" t="s">
        <v>79</v>
      </c>
      <c r="G287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961</v>
      </c>
      <c r="N287" t="s">
        <v>59</v>
      </c>
      <c r="O287">
        <v>9</v>
      </c>
      <c r="P287">
        <v>4081.77</v>
      </c>
      <c r="Q287" s="7">
        <v>0</v>
      </c>
      <c r="R287">
        <v>36735.93</v>
      </c>
      <c r="S287">
        <v>30820.84</v>
      </c>
      <c r="T287">
        <v>5915.09</v>
      </c>
      <c r="U287" t="s">
        <v>32</v>
      </c>
      <c r="V287" t="s">
        <v>33</v>
      </c>
      <c r="W287" s="8">
        <f t="shared" si="33"/>
        <v>0</v>
      </c>
      <c r="X287">
        <f t="shared" si="34"/>
        <v>36735.93</v>
      </c>
      <c r="Y287">
        <f t="shared" si="35"/>
        <v>5915.09</v>
      </c>
      <c r="Z287" s="8">
        <f t="shared" si="36"/>
        <v>0.16101647624001897</v>
      </c>
      <c r="AA287" t="str">
        <f t="shared" si="37"/>
        <v>August</v>
      </c>
      <c r="AB287">
        <f t="shared" si="38"/>
        <v>2025</v>
      </c>
      <c r="AC287" t="str">
        <f t="shared" si="39"/>
        <v>Clean</v>
      </c>
    </row>
    <row r="288" spans="1:29">
      <c r="A288" t="s">
        <v>962</v>
      </c>
      <c r="B288" s="2">
        <v>45350</v>
      </c>
      <c r="C288" s="2">
        <v>45353</v>
      </c>
      <c r="D288" s="3">
        <f t="shared" si="32"/>
        <v>3</v>
      </c>
      <c r="E288" t="s">
        <v>963</v>
      </c>
      <c r="F288" t="s">
        <v>114</v>
      </c>
      <c r="G288" t="s">
        <v>37</v>
      </c>
      <c r="H288" t="s">
        <v>25</v>
      </c>
      <c r="I288" t="s">
        <v>350</v>
      </c>
      <c r="J288" t="s">
        <v>351</v>
      </c>
      <c r="K288" t="s">
        <v>41</v>
      </c>
      <c r="L288" t="s">
        <v>57</v>
      </c>
      <c r="M288" t="s">
        <v>964</v>
      </c>
      <c r="N288" t="s">
        <v>50</v>
      </c>
      <c r="O288">
        <v>7</v>
      </c>
      <c r="P288">
        <v>701.8</v>
      </c>
      <c r="Q288" s="6">
        <v>0.1</v>
      </c>
      <c r="R288">
        <v>4421.34</v>
      </c>
      <c r="S288">
        <v>2489.98</v>
      </c>
      <c r="T288">
        <v>1931.36</v>
      </c>
      <c r="U288" t="s">
        <v>111</v>
      </c>
      <c r="V288" t="s">
        <v>103</v>
      </c>
      <c r="W288" s="8">
        <f t="shared" si="33"/>
        <v>0.1</v>
      </c>
      <c r="X288">
        <f t="shared" si="34"/>
        <v>4421.3399999999992</v>
      </c>
      <c r="Y288">
        <f t="shared" si="35"/>
        <v>1931.3599999999992</v>
      </c>
      <c r="Z288" s="8">
        <f t="shared" si="36"/>
        <v>0.43682684435035524</v>
      </c>
      <c r="AA288" t="str">
        <f t="shared" si="37"/>
        <v>February</v>
      </c>
      <c r="AB288">
        <f t="shared" si="38"/>
        <v>2024</v>
      </c>
      <c r="AC288" t="str">
        <f t="shared" si="39"/>
        <v>Clean</v>
      </c>
    </row>
    <row r="289" spans="1:29">
      <c r="A289" t="s">
        <v>965</v>
      </c>
      <c r="B289" s="2">
        <v>45540</v>
      </c>
      <c r="C289" s="2">
        <v>45482</v>
      </c>
      <c r="D289" s="5">
        <f t="shared" si="32"/>
        <v>-58</v>
      </c>
      <c r="E289" t="s">
        <v>966</v>
      </c>
      <c r="F289" t="s">
        <v>79</v>
      </c>
      <c r="G289" t="s">
        <v>37</v>
      </c>
      <c r="H289" t="s">
        <v>54</v>
      </c>
      <c r="I289" t="s">
        <v>247</v>
      </c>
      <c r="J289" t="s">
        <v>248</v>
      </c>
      <c r="K289" t="s">
        <v>74</v>
      </c>
      <c r="L289" t="s">
        <v>80</v>
      </c>
      <c r="M289" t="s">
        <v>967</v>
      </c>
      <c r="N289" t="s">
        <v>59</v>
      </c>
      <c r="O289">
        <v>3</v>
      </c>
      <c r="P289">
        <v>2555.66</v>
      </c>
      <c r="Q289" s="6">
        <v>0.15</v>
      </c>
      <c r="R289">
        <v>6516.93</v>
      </c>
      <c r="S289">
        <v>4511.54</v>
      </c>
      <c r="T289">
        <v>2005.39</v>
      </c>
      <c r="U289" t="s">
        <v>32</v>
      </c>
      <c r="V289" t="s">
        <v>68</v>
      </c>
      <c r="W289" s="8">
        <f t="shared" si="33"/>
        <v>0.15</v>
      </c>
      <c r="X289">
        <f t="shared" si="34"/>
        <v>6516.9329999999991</v>
      </c>
      <c r="Y289">
        <f t="shared" si="35"/>
        <v>2005.3929999999991</v>
      </c>
      <c r="Z289" s="8">
        <f t="shared" si="36"/>
        <v>0.30772036477895343</v>
      </c>
      <c r="AA289" t="str">
        <f t="shared" si="37"/>
        <v>September</v>
      </c>
      <c r="AB289">
        <f t="shared" si="38"/>
        <v>2024</v>
      </c>
      <c r="AC289" t="str">
        <f t="shared" si="39"/>
        <v>Warning</v>
      </c>
    </row>
    <row r="290" spans="1:29">
      <c r="A290" t="s">
        <v>968</v>
      </c>
      <c r="B290" s="2">
        <v>45467</v>
      </c>
      <c r="C290" s="2">
        <v>45467</v>
      </c>
      <c r="D290" s="3">
        <f t="shared" si="32"/>
        <v>0</v>
      </c>
      <c r="E290" t="s">
        <v>969</v>
      </c>
      <c r="F290" t="s">
        <v>141</v>
      </c>
      <c r="G290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970</v>
      </c>
      <c r="N290" t="s">
        <v>44</v>
      </c>
      <c r="O290">
        <v>2</v>
      </c>
      <c r="P290">
        <v>4359.8999999999996</v>
      </c>
      <c r="Q290" s="6">
        <v>0.15</v>
      </c>
      <c r="R290">
        <v>7411.83</v>
      </c>
      <c r="S290">
        <v>4904.63</v>
      </c>
      <c r="T290">
        <v>2507.1999999999998</v>
      </c>
      <c r="U290" t="s">
        <v>32</v>
      </c>
      <c r="V290" t="s">
        <v>33</v>
      </c>
      <c r="W290" s="8">
        <f t="shared" si="33"/>
        <v>0.15</v>
      </c>
      <c r="X290">
        <f t="shared" si="34"/>
        <v>7411.829999999999</v>
      </c>
      <c r="Y290">
        <f t="shared" si="35"/>
        <v>2507.1999999999989</v>
      </c>
      <c r="Z290" s="8">
        <f t="shared" si="36"/>
        <v>0.3382700358750807</v>
      </c>
      <c r="AA290" t="str">
        <f t="shared" si="37"/>
        <v>June</v>
      </c>
      <c r="AB290">
        <f t="shared" si="38"/>
        <v>2024</v>
      </c>
      <c r="AC290" t="str">
        <f t="shared" si="39"/>
        <v>Clean</v>
      </c>
    </row>
    <row r="291" spans="1:29">
      <c r="A291" t="s">
        <v>971</v>
      </c>
      <c r="B291" s="2">
        <v>45827</v>
      </c>
      <c r="C291" s="2">
        <v>45835</v>
      </c>
      <c r="D291" s="3">
        <f t="shared" si="32"/>
        <v>8</v>
      </c>
      <c r="E291" t="s">
        <v>972</v>
      </c>
      <c r="F291" t="s">
        <v>23</v>
      </c>
      <c r="G291" t="s">
        <v>95</v>
      </c>
      <c r="H291" t="s">
        <v>54</v>
      </c>
      <c r="I291" t="s">
        <v>247</v>
      </c>
      <c r="J291" t="s">
        <v>248</v>
      </c>
      <c r="K291" t="s">
        <v>41</v>
      </c>
      <c r="L291" t="s">
        <v>158</v>
      </c>
      <c r="M291" t="s">
        <v>973</v>
      </c>
      <c r="N291" t="s">
        <v>50</v>
      </c>
      <c r="O291">
        <v>2</v>
      </c>
      <c r="P291">
        <v>4346.6899999999996</v>
      </c>
      <c r="Q291" s="6">
        <v>0.05</v>
      </c>
      <c r="R291">
        <v>8258.7099999999991</v>
      </c>
      <c r="S291">
        <v>7018.97</v>
      </c>
      <c r="T291">
        <v>1239.74</v>
      </c>
      <c r="U291" t="s">
        <v>32</v>
      </c>
      <c r="V291" t="s">
        <v>33</v>
      </c>
      <c r="W291" s="8">
        <f t="shared" si="33"/>
        <v>0.05</v>
      </c>
      <c r="X291">
        <f t="shared" si="34"/>
        <v>8258.7109999999993</v>
      </c>
      <c r="Y291">
        <f t="shared" si="35"/>
        <v>1239.7409999999991</v>
      </c>
      <c r="Z291" s="8">
        <f t="shared" si="36"/>
        <v>0.15011313508851432</v>
      </c>
      <c r="AA291" t="str">
        <f t="shared" si="37"/>
        <v>June</v>
      </c>
      <c r="AB291">
        <f t="shared" si="38"/>
        <v>2025</v>
      </c>
      <c r="AC291" t="str">
        <f t="shared" si="39"/>
        <v>Clean</v>
      </c>
    </row>
    <row r="292" spans="1:29">
      <c r="A292" t="s">
        <v>974</v>
      </c>
      <c r="B292" s="2">
        <v>45891</v>
      </c>
      <c r="C292" s="2">
        <v>45895</v>
      </c>
      <c r="D292" s="3">
        <f t="shared" si="32"/>
        <v>4</v>
      </c>
      <c r="E292" t="s">
        <v>975</v>
      </c>
      <c r="F292" t="s">
        <v>162</v>
      </c>
      <c r="G292" t="s">
        <v>95</v>
      </c>
      <c r="H292" t="s">
        <v>38</v>
      </c>
      <c r="I292" t="s">
        <v>228</v>
      </c>
      <c r="J292" t="s">
        <v>229</v>
      </c>
      <c r="K292" t="s">
        <v>41</v>
      </c>
      <c r="L292" t="s">
        <v>42</v>
      </c>
      <c r="M292" t="s">
        <v>976</v>
      </c>
      <c r="N292" t="s">
        <v>59</v>
      </c>
      <c r="O292">
        <v>1</v>
      </c>
      <c r="P292">
        <v>1842.63</v>
      </c>
      <c r="Q292" s="6">
        <v>0.1</v>
      </c>
      <c r="R292">
        <v>1658.37</v>
      </c>
      <c r="S292">
        <v>971.12</v>
      </c>
      <c r="T292">
        <v>687.25</v>
      </c>
      <c r="U292" t="s">
        <v>32</v>
      </c>
      <c r="V292" t="s">
        <v>33</v>
      </c>
      <c r="W292" s="8">
        <f t="shared" si="33"/>
        <v>0.1</v>
      </c>
      <c r="X292">
        <f t="shared" si="34"/>
        <v>1658.3670000000002</v>
      </c>
      <c r="Y292">
        <f t="shared" si="35"/>
        <v>687.24700000000018</v>
      </c>
      <c r="Z292" s="8">
        <f t="shared" si="36"/>
        <v>0.41441188832146331</v>
      </c>
      <c r="AA292" t="str">
        <f t="shared" si="37"/>
        <v>August</v>
      </c>
      <c r="AB292">
        <f t="shared" si="38"/>
        <v>2025</v>
      </c>
      <c r="AC292" t="str">
        <f t="shared" si="39"/>
        <v>Clean</v>
      </c>
    </row>
    <row r="293" spans="1:29">
      <c r="A293" t="s">
        <v>977</v>
      </c>
      <c r="B293" s="2">
        <v>45387</v>
      </c>
      <c r="C293" s="2">
        <v>45392</v>
      </c>
      <c r="D293" s="3">
        <f t="shared" si="32"/>
        <v>5</v>
      </c>
      <c r="E293" t="s">
        <v>978</v>
      </c>
      <c r="F293" t="s">
        <v>114</v>
      </c>
      <c r="G293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979</v>
      </c>
      <c r="N293" t="s">
        <v>59</v>
      </c>
      <c r="O293">
        <v>4</v>
      </c>
      <c r="P293">
        <v>3228.66</v>
      </c>
      <c r="Q293" s="6">
        <v>0.25</v>
      </c>
      <c r="R293">
        <v>9685.98</v>
      </c>
      <c r="S293">
        <v>7730.04</v>
      </c>
      <c r="T293">
        <v>1955.94</v>
      </c>
      <c r="U293" t="s">
        <v>32</v>
      </c>
      <c r="V293" t="s">
        <v>33</v>
      </c>
      <c r="W293" s="8">
        <f t="shared" si="33"/>
        <v>0.25</v>
      </c>
      <c r="X293">
        <f t="shared" si="34"/>
        <v>9685.98</v>
      </c>
      <c r="Y293">
        <f t="shared" si="35"/>
        <v>1955.9399999999996</v>
      </c>
      <c r="Z293" s="8">
        <f t="shared" si="36"/>
        <v>0.20193516815025425</v>
      </c>
      <c r="AA293" t="str">
        <f t="shared" si="37"/>
        <v>April</v>
      </c>
      <c r="AB293">
        <f t="shared" si="38"/>
        <v>2024</v>
      </c>
      <c r="AC293" t="str">
        <f t="shared" si="39"/>
        <v>Clean</v>
      </c>
    </row>
    <row r="294" spans="1:29">
      <c r="A294" t="s">
        <v>980</v>
      </c>
      <c r="B294" s="2">
        <v>45716</v>
      </c>
      <c r="C294" s="2">
        <v>45719</v>
      </c>
      <c r="D294" s="3">
        <f t="shared" si="32"/>
        <v>3</v>
      </c>
      <c r="E294" t="s">
        <v>981</v>
      </c>
      <c r="F294" t="s">
        <v>264</v>
      </c>
      <c r="G294" t="s">
        <v>95</v>
      </c>
      <c r="H294" t="s">
        <v>25</v>
      </c>
      <c r="I294" t="s">
        <v>236</v>
      </c>
      <c r="J294" t="s">
        <v>237</v>
      </c>
      <c r="K294" t="s">
        <v>28</v>
      </c>
      <c r="L294" t="s">
        <v>48</v>
      </c>
      <c r="M294" t="s">
        <v>982</v>
      </c>
      <c r="N294" t="s">
        <v>44</v>
      </c>
      <c r="O294">
        <v>9</v>
      </c>
      <c r="P294">
        <v>3748.95</v>
      </c>
      <c r="Q294" s="7">
        <v>0</v>
      </c>
      <c r="R294">
        <v>33740.550000000003</v>
      </c>
      <c r="S294">
        <v>24621.89</v>
      </c>
      <c r="T294">
        <v>9118.66</v>
      </c>
      <c r="U294" t="s">
        <v>111</v>
      </c>
      <c r="V294" t="s">
        <v>68</v>
      </c>
      <c r="W294" s="8">
        <f t="shared" si="33"/>
        <v>0</v>
      </c>
      <c r="X294">
        <f t="shared" si="34"/>
        <v>33740.549999999996</v>
      </c>
      <c r="Y294">
        <f t="shared" si="35"/>
        <v>9118.6599999999962</v>
      </c>
      <c r="Z294" s="8">
        <f t="shared" si="36"/>
        <v>0.2702581908119458</v>
      </c>
      <c r="AA294" t="str">
        <f t="shared" si="37"/>
        <v>February</v>
      </c>
      <c r="AB294">
        <f t="shared" si="38"/>
        <v>2025</v>
      </c>
      <c r="AC294" t="str">
        <f t="shared" si="39"/>
        <v>Clean</v>
      </c>
    </row>
    <row r="295" spans="1:29">
      <c r="A295" t="s">
        <v>983</v>
      </c>
      <c r="B295" s="2">
        <v>45358</v>
      </c>
      <c r="C295" s="2">
        <v>45599</v>
      </c>
      <c r="D295" s="3">
        <f t="shared" si="32"/>
        <v>241</v>
      </c>
      <c r="E295" t="s">
        <v>984</v>
      </c>
      <c r="F295" t="s">
        <v>53</v>
      </c>
      <c r="G29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985</v>
      </c>
      <c r="N295" t="s">
        <v>50</v>
      </c>
      <c r="O295">
        <v>2</v>
      </c>
      <c r="P295">
        <v>4401.51</v>
      </c>
      <c r="Q295" s="6">
        <v>0.65</v>
      </c>
      <c r="R295">
        <v>8362.8700000000008</v>
      </c>
      <c r="S295">
        <v>6541.04</v>
      </c>
      <c r="T295">
        <v>1821.83</v>
      </c>
      <c r="U295" t="s">
        <v>32</v>
      </c>
      <c r="V295" t="s">
        <v>33</v>
      </c>
      <c r="W295" s="8">
        <f t="shared" si="33"/>
        <v>0.65</v>
      </c>
      <c r="X295">
        <f t="shared" si="34"/>
        <v>3081.0569999999998</v>
      </c>
      <c r="Y295">
        <f t="shared" si="35"/>
        <v>-3459.9830000000002</v>
      </c>
      <c r="Z295" s="8">
        <f t="shared" si="36"/>
        <v>-1.1229857156164267</v>
      </c>
      <c r="AA295" t="str">
        <f t="shared" si="37"/>
        <v>March</v>
      </c>
      <c r="AB295">
        <f t="shared" si="38"/>
        <v>2024</v>
      </c>
      <c r="AC295" t="str">
        <f t="shared" si="39"/>
        <v>Clean</v>
      </c>
    </row>
    <row r="296" spans="1:29">
      <c r="A296" t="s">
        <v>986</v>
      </c>
      <c r="B296" s="2">
        <v>45854</v>
      </c>
      <c r="C296" s="2">
        <v>45860</v>
      </c>
      <c r="D296" s="3">
        <f t="shared" si="32"/>
        <v>6</v>
      </c>
      <c r="E296" t="s">
        <v>987</v>
      </c>
      <c r="F296" t="s">
        <v>114</v>
      </c>
      <c r="G296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988</v>
      </c>
      <c r="N296" t="s">
        <v>31</v>
      </c>
      <c r="O296">
        <v>6</v>
      </c>
      <c r="P296">
        <v>4159.33</v>
      </c>
      <c r="Q296" s="6">
        <v>0.25</v>
      </c>
      <c r="R296">
        <v>18716.990000000002</v>
      </c>
      <c r="S296">
        <v>12282.43</v>
      </c>
      <c r="T296">
        <v>6434.56</v>
      </c>
      <c r="U296" t="s">
        <v>32</v>
      </c>
      <c r="V296" t="s">
        <v>103</v>
      </c>
      <c r="W296" s="8">
        <f t="shared" si="33"/>
        <v>0.25</v>
      </c>
      <c r="X296">
        <f t="shared" si="34"/>
        <v>18716.985000000001</v>
      </c>
      <c r="Y296">
        <f t="shared" si="35"/>
        <v>6434.5550000000003</v>
      </c>
      <c r="Z296" s="8">
        <f t="shared" si="36"/>
        <v>0.34378159730319813</v>
      </c>
      <c r="AA296" t="str">
        <f t="shared" si="37"/>
        <v>July</v>
      </c>
      <c r="AB296">
        <f t="shared" si="38"/>
        <v>2025</v>
      </c>
      <c r="AC296" t="str">
        <f t="shared" si="39"/>
        <v>Clean</v>
      </c>
    </row>
    <row r="297" spans="1:29">
      <c r="A297" t="s">
        <v>989</v>
      </c>
      <c r="B297" s="2">
        <v>45833</v>
      </c>
      <c r="C297" s="2">
        <v>45836</v>
      </c>
      <c r="D297" s="3">
        <f t="shared" si="32"/>
        <v>3</v>
      </c>
      <c r="E297" t="s">
        <v>990</v>
      </c>
      <c r="F297" t="s">
        <v>89</v>
      </c>
      <c r="G297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991</v>
      </c>
      <c r="N297" t="s">
        <v>59</v>
      </c>
      <c r="O297">
        <v>3</v>
      </c>
      <c r="P297">
        <v>3476.05</v>
      </c>
      <c r="Q297" s="6">
        <v>0.1</v>
      </c>
      <c r="R297">
        <v>9385.34</v>
      </c>
      <c r="S297">
        <v>5828.54</v>
      </c>
      <c r="T297">
        <v>3556.8</v>
      </c>
      <c r="U297" t="s">
        <v>32</v>
      </c>
      <c r="V297" t="s">
        <v>33</v>
      </c>
      <c r="W297" s="8">
        <f t="shared" si="33"/>
        <v>0.1</v>
      </c>
      <c r="X297">
        <f t="shared" si="34"/>
        <v>9385.3350000000009</v>
      </c>
      <c r="Y297">
        <f t="shared" si="35"/>
        <v>3556.795000000001</v>
      </c>
      <c r="Z297" s="8">
        <f t="shared" si="36"/>
        <v>0.37897368607513748</v>
      </c>
      <c r="AA297" t="str">
        <f t="shared" si="37"/>
        <v>June</v>
      </c>
      <c r="AB297">
        <f t="shared" si="38"/>
        <v>2025</v>
      </c>
      <c r="AC297" t="str">
        <f t="shared" si="39"/>
        <v>Clean</v>
      </c>
    </row>
    <row r="298" spans="1:29">
      <c r="A298" t="s">
        <v>992</v>
      </c>
      <c r="B298" s="2">
        <v>45801</v>
      </c>
      <c r="C298" s="2">
        <v>45803</v>
      </c>
      <c r="D298" s="3">
        <f t="shared" si="32"/>
        <v>2</v>
      </c>
      <c r="E298" t="s">
        <v>993</v>
      </c>
      <c r="F298" t="s">
        <v>89</v>
      </c>
      <c r="G298" t="s">
        <v>95</v>
      </c>
      <c r="H298" t="s">
        <v>25</v>
      </c>
      <c r="I298" t="s">
        <v>236</v>
      </c>
      <c r="J298" t="s">
        <v>237</v>
      </c>
      <c r="K298" t="s">
        <v>41</v>
      </c>
      <c r="L298" t="s">
        <v>57</v>
      </c>
      <c r="M298" t="s">
        <v>994</v>
      </c>
      <c r="N298" t="s">
        <v>44</v>
      </c>
      <c r="O298">
        <v>6</v>
      </c>
      <c r="P298">
        <v>3495.41</v>
      </c>
      <c r="Q298" s="6">
        <v>0.15</v>
      </c>
      <c r="R298">
        <v>17826.59</v>
      </c>
      <c r="S298">
        <v>10855.35</v>
      </c>
      <c r="T298">
        <v>6971.24</v>
      </c>
      <c r="U298" t="s">
        <v>32</v>
      </c>
      <c r="V298" t="s">
        <v>33</v>
      </c>
      <c r="W298" s="8">
        <f t="shared" si="33"/>
        <v>0.15</v>
      </c>
      <c r="X298">
        <f t="shared" si="34"/>
        <v>17826.591</v>
      </c>
      <c r="Y298">
        <f t="shared" si="35"/>
        <v>6971.241</v>
      </c>
      <c r="Z298" s="8">
        <f t="shared" si="36"/>
        <v>0.39105855965394615</v>
      </c>
      <c r="AA298" t="str">
        <f t="shared" si="37"/>
        <v>May</v>
      </c>
      <c r="AB298">
        <f t="shared" si="38"/>
        <v>2025</v>
      </c>
      <c r="AC298" t="str">
        <f t="shared" si="39"/>
        <v>Clean</v>
      </c>
    </row>
    <row r="299" spans="1:29">
      <c r="A299" t="s">
        <v>995</v>
      </c>
      <c r="B299" s="2">
        <v>45594</v>
      </c>
      <c r="C299" s="2">
        <v>45454</v>
      </c>
      <c r="D299" s="5">
        <f t="shared" si="32"/>
        <v>-140</v>
      </c>
      <c r="E299" t="s">
        <v>996</v>
      </c>
      <c r="F299" t="s">
        <v>132</v>
      </c>
      <c r="G299" t="s">
        <v>90</v>
      </c>
      <c r="H299" t="s">
        <v>54</v>
      </c>
      <c r="I299" t="s">
        <v>247</v>
      </c>
      <c r="J299" t="s">
        <v>248</v>
      </c>
      <c r="K299" t="s">
        <v>74</v>
      </c>
      <c r="L299" t="s">
        <v>80</v>
      </c>
      <c r="M299" t="s">
        <v>997</v>
      </c>
      <c r="N299" t="s">
        <v>44</v>
      </c>
      <c r="O299">
        <v>6</v>
      </c>
      <c r="P299">
        <v>1169.92</v>
      </c>
      <c r="Q299" s="6">
        <v>0.15</v>
      </c>
      <c r="R299">
        <v>5966.59</v>
      </c>
      <c r="S299">
        <v>3994.72</v>
      </c>
      <c r="T299">
        <v>1971.87</v>
      </c>
      <c r="U299" t="s">
        <v>32</v>
      </c>
      <c r="V299" t="s">
        <v>33</v>
      </c>
      <c r="W299" s="8">
        <f t="shared" si="33"/>
        <v>0.15</v>
      </c>
      <c r="X299">
        <f t="shared" si="34"/>
        <v>5966.5920000000006</v>
      </c>
      <c r="Y299">
        <f t="shared" si="35"/>
        <v>1971.8720000000008</v>
      </c>
      <c r="Z299" s="8">
        <f t="shared" si="36"/>
        <v>0.33048547646629778</v>
      </c>
      <c r="AA299" t="str">
        <f t="shared" si="37"/>
        <v>October</v>
      </c>
      <c r="AB299">
        <f t="shared" si="38"/>
        <v>2024</v>
      </c>
      <c r="AC299" t="str">
        <f t="shared" si="39"/>
        <v>Warning</v>
      </c>
    </row>
    <row r="300" spans="1:29">
      <c r="A300" t="s">
        <v>998</v>
      </c>
      <c r="B300" s="2">
        <v>45680</v>
      </c>
      <c r="C300" s="2">
        <v>45683</v>
      </c>
      <c r="D300" s="3">
        <f t="shared" si="32"/>
        <v>3</v>
      </c>
      <c r="E300" t="s">
        <v>999</v>
      </c>
      <c r="F300" t="s">
        <v>47</v>
      </c>
      <c r="G300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1000</v>
      </c>
      <c r="N300" t="s">
        <v>50</v>
      </c>
      <c r="O300">
        <v>7</v>
      </c>
      <c r="P300">
        <v>348.49</v>
      </c>
      <c r="Q300" s="6">
        <v>0.2</v>
      </c>
      <c r="R300">
        <v>1951.54</v>
      </c>
      <c r="S300">
        <v>1609.95</v>
      </c>
      <c r="T300">
        <v>341.59</v>
      </c>
      <c r="U300" t="s">
        <v>155</v>
      </c>
      <c r="V300" t="s">
        <v>103</v>
      </c>
      <c r="W300" s="8">
        <f t="shared" si="33"/>
        <v>0.2</v>
      </c>
      <c r="X300">
        <f t="shared" si="34"/>
        <v>1951.5440000000003</v>
      </c>
      <c r="Y300">
        <f t="shared" si="35"/>
        <v>341.59400000000028</v>
      </c>
      <c r="Z300" s="8">
        <f t="shared" si="36"/>
        <v>0.17503781621116421</v>
      </c>
      <c r="AA300" t="str">
        <f t="shared" si="37"/>
        <v>January</v>
      </c>
      <c r="AB300">
        <f t="shared" si="38"/>
        <v>2025</v>
      </c>
      <c r="AC300" t="str">
        <f t="shared" si="39"/>
        <v>Clean</v>
      </c>
    </row>
    <row r="301" spans="1:29">
      <c r="A301" t="s">
        <v>1001</v>
      </c>
      <c r="B301" s="2">
        <v>45454</v>
      </c>
      <c r="C301" s="2">
        <v>45608</v>
      </c>
      <c r="D301" s="3">
        <f t="shared" si="32"/>
        <v>154</v>
      </c>
      <c r="E301" t="s">
        <v>1002</v>
      </c>
      <c r="F301" t="s">
        <v>118</v>
      </c>
      <c r="G301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1003</v>
      </c>
      <c r="N301" t="s">
        <v>59</v>
      </c>
      <c r="O301">
        <v>7</v>
      </c>
      <c r="P301">
        <v>1719.05</v>
      </c>
      <c r="Q301" s="6">
        <v>0.1</v>
      </c>
      <c r="R301">
        <v>10830.02</v>
      </c>
      <c r="S301">
        <v>7055.31</v>
      </c>
      <c r="T301">
        <v>3774.71</v>
      </c>
      <c r="U301" t="s">
        <v>32</v>
      </c>
      <c r="V301" t="s">
        <v>33</v>
      </c>
      <c r="W301" s="8">
        <f t="shared" si="33"/>
        <v>0.1</v>
      </c>
      <c r="X301">
        <f t="shared" si="34"/>
        <v>10830.015000000001</v>
      </c>
      <c r="Y301">
        <f t="shared" si="35"/>
        <v>3774.7050000000008</v>
      </c>
      <c r="Z301" s="8">
        <f t="shared" si="36"/>
        <v>0.34854106850267524</v>
      </c>
      <c r="AA301" t="str">
        <f t="shared" si="37"/>
        <v>June</v>
      </c>
      <c r="AB301">
        <f t="shared" si="38"/>
        <v>2024</v>
      </c>
      <c r="AC301" t="str">
        <f t="shared" si="39"/>
        <v>Clean</v>
      </c>
    </row>
    <row r="302" spans="1:29">
      <c r="A302" t="s">
        <v>1004</v>
      </c>
      <c r="B302" s="2">
        <v>45397</v>
      </c>
      <c r="C302" s="2">
        <v>45405</v>
      </c>
      <c r="D302" s="3">
        <f t="shared" si="32"/>
        <v>8</v>
      </c>
      <c r="E302" t="s">
        <v>1005</v>
      </c>
      <c r="F302" t="s">
        <v>162</v>
      </c>
      <c r="G302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1006</v>
      </c>
      <c r="N302" t="s">
        <v>31</v>
      </c>
      <c r="O302">
        <v>9</v>
      </c>
      <c r="P302">
        <v>3893.74</v>
      </c>
      <c r="Q302" s="6">
        <v>0.1</v>
      </c>
      <c r="R302">
        <v>31539.29</v>
      </c>
      <c r="S302">
        <v>22100.14</v>
      </c>
      <c r="T302">
        <v>9439.15</v>
      </c>
      <c r="U302" t="s">
        <v>32</v>
      </c>
      <c r="V302" t="s">
        <v>33</v>
      </c>
      <c r="W302" s="8">
        <f t="shared" si="33"/>
        <v>0.1</v>
      </c>
      <c r="X302">
        <f t="shared" si="34"/>
        <v>31539.293999999998</v>
      </c>
      <c r="Y302">
        <f t="shared" si="35"/>
        <v>9439.1539999999986</v>
      </c>
      <c r="Z302" s="8">
        <f t="shared" si="36"/>
        <v>0.29928234918638313</v>
      </c>
      <c r="AA302" t="str">
        <f t="shared" si="37"/>
        <v>April</v>
      </c>
      <c r="AB302">
        <f t="shared" si="38"/>
        <v>2024</v>
      </c>
      <c r="AC302" t="str">
        <f t="shared" si="39"/>
        <v>Clean</v>
      </c>
    </row>
    <row r="303" spans="1:29">
      <c r="A303" t="s">
        <v>1007</v>
      </c>
      <c r="B303" s="2">
        <v>45805</v>
      </c>
      <c r="C303" s="2">
        <v>45663</v>
      </c>
      <c r="D303" s="5">
        <f t="shared" si="32"/>
        <v>-142</v>
      </c>
      <c r="E303" t="s">
        <v>1008</v>
      </c>
      <c r="F303" t="s">
        <v>47</v>
      </c>
      <c r="G303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1009</v>
      </c>
      <c r="N303" t="s">
        <v>44</v>
      </c>
      <c r="O303">
        <v>4</v>
      </c>
      <c r="P303">
        <v>1654.11</v>
      </c>
      <c r="Q303" s="6">
        <v>0.05</v>
      </c>
      <c r="R303">
        <v>6285.62</v>
      </c>
      <c r="S303">
        <v>3705.38</v>
      </c>
      <c r="T303">
        <v>2580.2399999999998</v>
      </c>
      <c r="U303" t="s">
        <v>32</v>
      </c>
      <c r="V303" t="s">
        <v>33</v>
      </c>
      <c r="W303" s="8">
        <f t="shared" si="33"/>
        <v>0.05</v>
      </c>
      <c r="X303">
        <f t="shared" si="34"/>
        <v>6285.6179999999995</v>
      </c>
      <c r="Y303">
        <f t="shared" si="35"/>
        <v>2580.2379999999994</v>
      </c>
      <c r="Z303" s="8">
        <f t="shared" si="36"/>
        <v>0.41049869718458865</v>
      </c>
      <c r="AA303" t="str">
        <f t="shared" si="37"/>
        <v>May</v>
      </c>
      <c r="AB303">
        <f t="shared" si="38"/>
        <v>2025</v>
      </c>
      <c r="AC303" t="str">
        <f t="shared" si="39"/>
        <v>Warning</v>
      </c>
    </row>
    <row r="304" spans="1:29">
      <c r="A304" t="s">
        <v>1010</v>
      </c>
      <c r="B304" s="2">
        <v>45753</v>
      </c>
      <c r="C304" s="2">
        <v>45820</v>
      </c>
      <c r="D304" s="3">
        <f t="shared" si="32"/>
        <v>67</v>
      </c>
      <c r="E304" t="s">
        <v>1011</v>
      </c>
      <c r="F304" t="s">
        <v>79</v>
      </c>
      <c r="G304" t="s">
        <v>24</v>
      </c>
      <c r="H304" t="s">
        <v>63</v>
      </c>
      <c r="I304" t="s">
        <v>190</v>
      </c>
      <c r="J304" t="s">
        <v>191</v>
      </c>
      <c r="K304" t="s">
        <v>28</v>
      </c>
      <c r="L304" t="s">
        <v>124</v>
      </c>
      <c r="M304" t="s">
        <v>1012</v>
      </c>
      <c r="N304" t="s">
        <v>44</v>
      </c>
      <c r="O304">
        <v>2</v>
      </c>
      <c r="P304">
        <v>2703.28</v>
      </c>
      <c r="Q304" s="6">
        <v>0.25</v>
      </c>
      <c r="R304">
        <v>4054.92</v>
      </c>
      <c r="S304">
        <v>2424.83</v>
      </c>
      <c r="T304">
        <v>1630.09</v>
      </c>
      <c r="U304" t="s">
        <v>32</v>
      </c>
      <c r="V304" t="s">
        <v>33</v>
      </c>
      <c r="W304" s="8">
        <f t="shared" si="33"/>
        <v>0.25</v>
      </c>
      <c r="X304">
        <f t="shared" si="34"/>
        <v>4054.92</v>
      </c>
      <c r="Y304">
        <f t="shared" si="35"/>
        <v>1630.0900000000001</v>
      </c>
      <c r="Z304" s="8">
        <f t="shared" si="36"/>
        <v>0.40200299882611745</v>
      </c>
      <c r="AA304" t="str">
        <f t="shared" si="37"/>
        <v>April</v>
      </c>
      <c r="AB304">
        <f t="shared" si="38"/>
        <v>2025</v>
      </c>
      <c r="AC304" t="str">
        <f t="shared" si="39"/>
        <v>Clean</v>
      </c>
    </row>
    <row r="305" spans="1:29">
      <c r="A305" t="s">
        <v>1013</v>
      </c>
      <c r="B305" s="2">
        <v>45466</v>
      </c>
      <c r="C305" s="2">
        <v>45471</v>
      </c>
      <c r="D305" s="3">
        <f t="shared" si="32"/>
        <v>5</v>
      </c>
      <c r="E305" t="s">
        <v>1014</v>
      </c>
      <c r="F305" t="s">
        <v>162</v>
      </c>
      <c r="G30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1015</v>
      </c>
      <c r="N305" t="s">
        <v>59</v>
      </c>
      <c r="O305">
        <v>2</v>
      </c>
      <c r="P305">
        <v>1313.14</v>
      </c>
      <c r="Q305" s="6">
        <v>0.1</v>
      </c>
      <c r="R305">
        <v>2363.65</v>
      </c>
      <c r="S305">
        <v>1876.1</v>
      </c>
      <c r="T305">
        <v>487.55</v>
      </c>
      <c r="U305" t="s">
        <v>111</v>
      </c>
      <c r="V305" t="s">
        <v>103</v>
      </c>
      <c r="W305" s="8">
        <f t="shared" si="33"/>
        <v>0.1</v>
      </c>
      <c r="X305">
        <f t="shared" si="34"/>
        <v>2363.652</v>
      </c>
      <c r="Y305">
        <f t="shared" si="35"/>
        <v>487.55200000000013</v>
      </c>
      <c r="Z305" s="8">
        <f t="shared" si="36"/>
        <v>0.20627063544041174</v>
      </c>
      <c r="AA305" t="str">
        <f t="shared" si="37"/>
        <v>June</v>
      </c>
      <c r="AB305">
        <f t="shared" si="38"/>
        <v>2024</v>
      </c>
      <c r="AC305" t="str">
        <f t="shared" si="39"/>
        <v>Clean</v>
      </c>
    </row>
    <row r="306" spans="1:29">
      <c r="A306" t="s">
        <v>1016</v>
      </c>
      <c r="B306" s="2">
        <v>45357</v>
      </c>
      <c r="C306" s="2">
        <v>45364</v>
      </c>
      <c r="D306" s="3">
        <f t="shared" si="32"/>
        <v>7</v>
      </c>
      <c r="E306" t="s">
        <v>1017</v>
      </c>
      <c r="F306" t="s">
        <v>23</v>
      </c>
      <c r="G306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1018</v>
      </c>
      <c r="N306" t="s">
        <v>59</v>
      </c>
      <c r="O306">
        <v>6</v>
      </c>
      <c r="P306">
        <v>2403.0500000000002</v>
      </c>
      <c r="Q306" s="6">
        <v>0.1</v>
      </c>
      <c r="R306">
        <v>12976.47</v>
      </c>
      <c r="S306">
        <v>10019.98</v>
      </c>
      <c r="T306">
        <v>2956.49</v>
      </c>
      <c r="U306" t="s">
        <v>32</v>
      </c>
      <c r="V306" t="s">
        <v>33</v>
      </c>
      <c r="W306" s="8">
        <f t="shared" si="33"/>
        <v>0.1</v>
      </c>
      <c r="X306">
        <f t="shared" si="34"/>
        <v>12976.470000000001</v>
      </c>
      <c r="Y306">
        <f t="shared" si="35"/>
        <v>2956.4900000000016</v>
      </c>
      <c r="Z306" s="8">
        <f t="shared" si="36"/>
        <v>0.22783468847845378</v>
      </c>
      <c r="AA306" t="str">
        <f t="shared" si="37"/>
        <v>March</v>
      </c>
      <c r="AB306">
        <f t="shared" si="38"/>
        <v>2024</v>
      </c>
      <c r="AC306" t="str">
        <f t="shared" si="39"/>
        <v>Clean</v>
      </c>
    </row>
    <row r="307" spans="1:29">
      <c r="A307" t="s">
        <v>1019</v>
      </c>
      <c r="B307" s="2">
        <v>45413</v>
      </c>
      <c r="C307" s="2">
        <v>45414</v>
      </c>
      <c r="D307" s="3">
        <f t="shared" si="32"/>
        <v>1</v>
      </c>
      <c r="E307" t="s">
        <v>1020</v>
      </c>
      <c r="F307" t="s">
        <v>62</v>
      </c>
      <c r="G307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1021</v>
      </c>
      <c r="N307" t="s">
        <v>50</v>
      </c>
      <c r="O307">
        <v>4</v>
      </c>
      <c r="P307">
        <v>4156.0600000000004</v>
      </c>
      <c r="Q307" s="6">
        <v>0.55000000000000004</v>
      </c>
      <c r="R307">
        <v>13299.39</v>
      </c>
      <c r="S307">
        <v>9851.91</v>
      </c>
      <c r="T307">
        <v>3447.48</v>
      </c>
      <c r="U307" t="s">
        <v>32</v>
      </c>
      <c r="V307" t="s">
        <v>68</v>
      </c>
      <c r="W307" s="8">
        <f t="shared" si="33"/>
        <v>0.55000000000000004</v>
      </c>
      <c r="X307">
        <f t="shared" si="34"/>
        <v>7480.9080000000004</v>
      </c>
      <c r="Y307">
        <f t="shared" si="35"/>
        <v>-2371.0019999999995</v>
      </c>
      <c r="Z307" s="8">
        <f t="shared" si="36"/>
        <v>-0.31694040349112695</v>
      </c>
      <c r="AA307" t="str">
        <f t="shared" si="37"/>
        <v>May</v>
      </c>
      <c r="AB307">
        <f t="shared" si="38"/>
        <v>2024</v>
      </c>
      <c r="AC307" t="str">
        <f t="shared" si="39"/>
        <v>Clean</v>
      </c>
    </row>
    <row r="308" spans="1:29">
      <c r="A308" t="s">
        <v>1022</v>
      </c>
      <c r="B308" s="2">
        <v>45708</v>
      </c>
      <c r="C308" s="2">
        <v>45711</v>
      </c>
      <c r="D308" s="3">
        <f t="shared" si="32"/>
        <v>3</v>
      </c>
      <c r="E308" t="s">
        <v>1023</v>
      </c>
      <c r="F308" t="s">
        <v>128</v>
      </c>
      <c r="G308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1024</v>
      </c>
      <c r="N308" t="s">
        <v>31</v>
      </c>
      <c r="O308">
        <v>4</v>
      </c>
      <c r="P308">
        <v>3673.11</v>
      </c>
      <c r="Q308" s="7">
        <v>0</v>
      </c>
      <c r="R308">
        <v>14692.44</v>
      </c>
      <c r="S308">
        <v>10082.19</v>
      </c>
      <c r="T308">
        <v>4610.25</v>
      </c>
      <c r="U308" t="s">
        <v>32</v>
      </c>
      <c r="V308" t="s">
        <v>33</v>
      </c>
      <c r="W308" s="8">
        <f t="shared" si="33"/>
        <v>0</v>
      </c>
      <c r="X308">
        <f t="shared" si="34"/>
        <v>14692.44</v>
      </c>
      <c r="Y308">
        <f t="shared" si="35"/>
        <v>4610.25</v>
      </c>
      <c r="Z308" s="8">
        <f t="shared" si="36"/>
        <v>0.31378382351740075</v>
      </c>
      <c r="AA308" t="str">
        <f t="shared" si="37"/>
        <v>February</v>
      </c>
      <c r="AB308">
        <f t="shared" si="38"/>
        <v>2025</v>
      </c>
      <c r="AC308" t="str">
        <f t="shared" si="39"/>
        <v>Clean</v>
      </c>
    </row>
    <row r="309" spans="1:29">
      <c r="A309" t="s">
        <v>1025</v>
      </c>
      <c r="B309" s="2">
        <v>45850</v>
      </c>
      <c r="C309" s="2">
        <v>45857</v>
      </c>
      <c r="D309" s="3">
        <f t="shared" si="32"/>
        <v>7</v>
      </c>
      <c r="E309" t="s">
        <v>1026</v>
      </c>
      <c r="F309" t="s">
        <v>62</v>
      </c>
      <c r="G309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1027</v>
      </c>
      <c r="N309" t="s">
        <v>50</v>
      </c>
      <c r="O309">
        <v>9</v>
      </c>
      <c r="P309">
        <v>4093.04</v>
      </c>
      <c r="Q309" s="6">
        <v>0.2</v>
      </c>
      <c r="R309">
        <v>29469.89</v>
      </c>
      <c r="S309">
        <v>18935.509999999998</v>
      </c>
      <c r="T309">
        <v>10534.38</v>
      </c>
      <c r="U309" t="s">
        <v>111</v>
      </c>
      <c r="V309" t="s">
        <v>68</v>
      </c>
      <c r="W309" s="8">
        <f t="shared" si="33"/>
        <v>0.2</v>
      </c>
      <c r="X309">
        <f t="shared" si="34"/>
        <v>29469.888000000003</v>
      </c>
      <c r="Y309">
        <f t="shared" si="35"/>
        <v>10534.378000000004</v>
      </c>
      <c r="Z309" s="8">
        <f t="shared" si="36"/>
        <v>0.3574624375905332</v>
      </c>
      <c r="AA309" t="str">
        <f t="shared" si="37"/>
        <v>July</v>
      </c>
      <c r="AB309">
        <f t="shared" si="38"/>
        <v>2025</v>
      </c>
      <c r="AC309" t="str">
        <f t="shared" si="39"/>
        <v>Clean</v>
      </c>
    </row>
    <row r="310" spans="1:29">
      <c r="A310" t="s">
        <v>1028</v>
      </c>
      <c r="B310" s="2">
        <v>45821</v>
      </c>
      <c r="C310" s="2">
        <v>45827</v>
      </c>
      <c r="D310" s="3">
        <f t="shared" si="32"/>
        <v>6</v>
      </c>
      <c r="E310" t="s">
        <v>1029</v>
      </c>
      <c r="F310" t="s">
        <v>141</v>
      </c>
      <c r="G310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1030</v>
      </c>
      <c r="N310" t="s">
        <v>50</v>
      </c>
      <c r="O310">
        <v>4</v>
      </c>
      <c r="P310">
        <v>731.57</v>
      </c>
      <c r="Q310" s="6">
        <v>0.2</v>
      </c>
      <c r="R310">
        <v>2341.02</v>
      </c>
      <c r="S310">
        <v>1565.49</v>
      </c>
      <c r="T310">
        <v>775.53</v>
      </c>
      <c r="U310" t="s">
        <v>32</v>
      </c>
      <c r="V310" t="s">
        <v>33</v>
      </c>
      <c r="W310" s="8">
        <f t="shared" si="33"/>
        <v>0.2</v>
      </c>
      <c r="X310">
        <f t="shared" si="34"/>
        <v>2341.0240000000003</v>
      </c>
      <c r="Y310">
        <f t="shared" si="35"/>
        <v>775.53400000000033</v>
      </c>
      <c r="Z310" s="8">
        <f t="shared" si="36"/>
        <v>0.33127981601213835</v>
      </c>
      <c r="AA310" t="str">
        <f t="shared" si="37"/>
        <v>June</v>
      </c>
      <c r="AB310">
        <f t="shared" si="38"/>
        <v>2025</v>
      </c>
      <c r="AC310" t="str">
        <f t="shared" si="39"/>
        <v>Clean</v>
      </c>
    </row>
    <row r="311" spans="1:29">
      <c r="A311" t="s">
        <v>1031</v>
      </c>
      <c r="B311" s="2">
        <v>45493</v>
      </c>
      <c r="C311" s="2">
        <v>45495</v>
      </c>
      <c r="D311" s="3">
        <f t="shared" si="32"/>
        <v>2</v>
      </c>
      <c r="E311" t="s">
        <v>1032</v>
      </c>
      <c r="F311" t="s">
        <v>62</v>
      </c>
      <c r="G311" t="s">
        <v>24</v>
      </c>
      <c r="H311" t="s">
        <v>54</v>
      </c>
      <c r="I311" t="s">
        <v>247</v>
      </c>
      <c r="J311" t="s">
        <v>248</v>
      </c>
      <c r="K311" t="s">
        <v>41</v>
      </c>
      <c r="L311" t="s">
        <v>42</v>
      </c>
      <c r="M311" t="s">
        <v>1033</v>
      </c>
      <c r="N311" t="s">
        <v>50</v>
      </c>
      <c r="O311">
        <v>7</v>
      </c>
      <c r="P311">
        <v>2060.73</v>
      </c>
      <c r="Q311" s="6">
        <v>0.1</v>
      </c>
      <c r="R311">
        <v>12982.6</v>
      </c>
      <c r="S311">
        <v>7246.36</v>
      </c>
      <c r="T311">
        <v>5736.24</v>
      </c>
      <c r="U311" t="s">
        <v>32</v>
      </c>
      <c r="V311" t="s">
        <v>68</v>
      </c>
      <c r="W311" s="8">
        <f t="shared" si="33"/>
        <v>0.1</v>
      </c>
      <c r="X311">
        <f t="shared" si="34"/>
        <v>12982.599</v>
      </c>
      <c r="Y311">
        <f t="shared" si="35"/>
        <v>5736.2390000000005</v>
      </c>
      <c r="Z311" s="8">
        <f t="shared" si="36"/>
        <v>0.441840574448922</v>
      </c>
      <c r="AA311" t="str">
        <f t="shared" si="37"/>
        <v>July</v>
      </c>
      <c r="AB311">
        <f t="shared" si="38"/>
        <v>2024</v>
      </c>
      <c r="AC311" t="str">
        <f t="shared" si="39"/>
        <v>Clean</v>
      </c>
    </row>
    <row r="312" spans="1:29">
      <c r="A312" t="s">
        <v>1034</v>
      </c>
      <c r="B312" s="2">
        <v>45389</v>
      </c>
      <c r="C312" s="2">
        <v>45511</v>
      </c>
      <c r="D312" s="3">
        <f t="shared" si="32"/>
        <v>122</v>
      </c>
      <c r="E312" t="s">
        <v>1035</v>
      </c>
      <c r="F312" t="s">
        <v>141</v>
      </c>
      <c r="G312" t="s">
        <v>37</v>
      </c>
      <c r="H312" t="s">
        <v>54</v>
      </c>
      <c r="I312" t="s">
        <v>247</v>
      </c>
      <c r="J312" t="s">
        <v>248</v>
      </c>
      <c r="K312" t="s">
        <v>74</v>
      </c>
      <c r="L312" t="s">
        <v>274</v>
      </c>
      <c r="M312" t="s">
        <v>1036</v>
      </c>
      <c r="N312" t="s">
        <v>50</v>
      </c>
      <c r="O312">
        <v>8</v>
      </c>
      <c r="P312">
        <v>2034.25</v>
      </c>
      <c r="Q312" s="7">
        <v>0</v>
      </c>
      <c r="R312">
        <v>16274</v>
      </c>
      <c r="S312">
        <v>9424.25</v>
      </c>
      <c r="T312">
        <v>6849.75</v>
      </c>
      <c r="U312" t="s">
        <v>32</v>
      </c>
      <c r="V312" t="s">
        <v>33</v>
      </c>
      <c r="W312" s="8">
        <f t="shared" si="33"/>
        <v>0</v>
      </c>
      <c r="X312">
        <f t="shared" si="34"/>
        <v>16274</v>
      </c>
      <c r="Y312">
        <f t="shared" si="35"/>
        <v>6849.75</v>
      </c>
      <c r="Z312" s="8">
        <f t="shared" si="36"/>
        <v>0.42090143787636719</v>
      </c>
      <c r="AA312" t="str">
        <f t="shared" si="37"/>
        <v>April</v>
      </c>
      <c r="AB312">
        <f t="shared" si="38"/>
        <v>2024</v>
      </c>
      <c r="AC312" t="str">
        <f t="shared" si="39"/>
        <v>Clean</v>
      </c>
    </row>
    <row r="313" spans="1:29">
      <c r="A313" t="s">
        <v>1037</v>
      </c>
      <c r="B313" s="2">
        <v>45409</v>
      </c>
      <c r="C313" s="2">
        <v>45327</v>
      </c>
      <c r="D313" s="5">
        <f t="shared" si="32"/>
        <v>-82</v>
      </c>
      <c r="E313" t="s">
        <v>1038</v>
      </c>
      <c r="F313" t="s">
        <v>36</v>
      </c>
      <c r="G313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1039</v>
      </c>
      <c r="N313" t="s">
        <v>31</v>
      </c>
      <c r="O313">
        <v>5</v>
      </c>
      <c r="P313">
        <v>554.04</v>
      </c>
      <c r="Q313" s="6">
        <v>0.1</v>
      </c>
      <c r="R313">
        <v>2493.1799999999998</v>
      </c>
      <c r="S313">
        <v>1764</v>
      </c>
      <c r="T313">
        <v>729.18</v>
      </c>
      <c r="U313" t="s">
        <v>32</v>
      </c>
      <c r="V313" t="s">
        <v>33</v>
      </c>
      <c r="W313" s="8">
        <f t="shared" si="33"/>
        <v>0.1</v>
      </c>
      <c r="X313">
        <f t="shared" si="34"/>
        <v>2493.1799999999998</v>
      </c>
      <c r="Y313">
        <f t="shared" si="35"/>
        <v>729.17999999999984</v>
      </c>
      <c r="Z313" s="8">
        <f t="shared" si="36"/>
        <v>0.29246985777200196</v>
      </c>
      <c r="AA313" t="str">
        <f t="shared" si="37"/>
        <v>April</v>
      </c>
      <c r="AB313">
        <f t="shared" si="38"/>
        <v>2024</v>
      </c>
      <c r="AC313" t="str">
        <f t="shared" si="39"/>
        <v>Warning</v>
      </c>
    </row>
    <row r="314" spans="1:29">
      <c r="A314" t="s">
        <v>1040</v>
      </c>
      <c r="B314" s="2">
        <v>45504</v>
      </c>
      <c r="C314" s="2">
        <v>45390</v>
      </c>
      <c r="D314" s="5">
        <f t="shared" si="32"/>
        <v>-114</v>
      </c>
      <c r="E314" t="s">
        <v>1041</v>
      </c>
      <c r="F314" t="s">
        <v>23</v>
      </c>
      <c r="G314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1042</v>
      </c>
      <c r="N314" t="s">
        <v>59</v>
      </c>
      <c r="O314">
        <v>8</v>
      </c>
      <c r="P314">
        <v>2614.7399999999998</v>
      </c>
      <c r="Q314" s="7">
        <v>0</v>
      </c>
      <c r="R314">
        <v>15688.44</v>
      </c>
      <c r="S314">
        <v>10047.33</v>
      </c>
      <c r="T314">
        <v>5641.11</v>
      </c>
      <c r="U314" t="s">
        <v>32</v>
      </c>
      <c r="V314" t="s">
        <v>68</v>
      </c>
      <c r="W314" s="8">
        <f t="shared" si="33"/>
        <v>0</v>
      </c>
      <c r="X314">
        <f t="shared" si="34"/>
        <v>20917.919999999998</v>
      </c>
      <c r="Y314">
        <f t="shared" si="35"/>
        <v>10870.589999999998</v>
      </c>
      <c r="Z314" s="8">
        <f t="shared" si="36"/>
        <v>0.5196783427797792</v>
      </c>
      <c r="AA314" t="str">
        <f t="shared" si="37"/>
        <v>July</v>
      </c>
      <c r="AB314">
        <f t="shared" si="38"/>
        <v>2024</v>
      </c>
      <c r="AC314" t="str">
        <f t="shared" si="39"/>
        <v>Warning</v>
      </c>
    </row>
    <row r="315" spans="1:29">
      <c r="A315" t="s">
        <v>1043</v>
      </c>
      <c r="B315" s="2">
        <v>45807</v>
      </c>
      <c r="C315" s="2">
        <v>45808</v>
      </c>
      <c r="D315" s="3">
        <f t="shared" si="32"/>
        <v>1</v>
      </c>
      <c r="E315" t="s">
        <v>1044</v>
      </c>
      <c r="F315" t="s">
        <v>118</v>
      </c>
      <c r="G31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1045</v>
      </c>
      <c r="N315" t="s">
        <v>50</v>
      </c>
      <c r="O315">
        <v>8</v>
      </c>
      <c r="P315">
        <v>2081.4299999999998</v>
      </c>
      <c r="Q315" s="6">
        <v>0.25</v>
      </c>
      <c r="R315">
        <v>12488.58</v>
      </c>
      <c r="S315">
        <v>10717.4</v>
      </c>
      <c r="T315">
        <v>1771.18</v>
      </c>
      <c r="U315" t="s">
        <v>102</v>
      </c>
      <c r="V315" t="s">
        <v>68</v>
      </c>
      <c r="W315" s="8">
        <f t="shared" si="33"/>
        <v>0.25</v>
      </c>
      <c r="X315">
        <f t="shared" si="34"/>
        <v>12488.579999999998</v>
      </c>
      <c r="Y315">
        <f t="shared" si="35"/>
        <v>1771.1799999999985</v>
      </c>
      <c r="Z315" s="8">
        <f t="shared" si="36"/>
        <v>0.14182397037933847</v>
      </c>
      <c r="AA315" t="str">
        <f t="shared" si="37"/>
        <v>May</v>
      </c>
      <c r="AB315">
        <f t="shared" si="38"/>
        <v>2025</v>
      </c>
      <c r="AC315" t="str">
        <f t="shared" si="39"/>
        <v>Clean</v>
      </c>
    </row>
    <row r="316" spans="1:29">
      <c r="A316" s="4" t="s">
        <v>1046</v>
      </c>
      <c r="B316" s="2">
        <v>45795</v>
      </c>
      <c r="C316" s="2">
        <v>45797</v>
      </c>
      <c r="D316" s="3">
        <f t="shared" si="32"/>
        <v>2</v>
      </c>
      <c r="E316" t="s">
        <v>1047</v>
      </c>
      <c r="F316" t="s">
        <v>47</v>
      </c>
      <c r="G316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1048</v>
      </c>
      <c r="N316" t="s">
        <v>59</v>
      </c>
      <c r="O316">
        <v>9</v>
      </c>
      <c r="P316">
        <v>847.76</v>
      </c>
      <c r="Q316" s="6">
        <v>0.15</v>
      </c>
      <c r="R316">
        <v>6485.36</v>
      </c>
      <c r="S316">
        <v>5376.17</v>
      </c>
      <c r="T316">
        <v>1109.19</v>
      </c>
      <c r="U316" t="s">
        <v>155</v>
      </c>
      <c r="V316" t="s">
        <v>103</v>
      </c>
      <c r="W316" s="8">
        <f t="shared" si="33"/>
        <v>0.15</v>
      </c>
      <c r="X316">
        <f t="shared" si="34"/>
        <v>6485.3639999999996</v>
      </c>
      <c r="Y316">
        <f t="shared" si="35"/>
        <v>1109.1939999999995</v>
      </c>
      <c r="Z316" s="8">
        <f t="shared" si="36"/>
        <v>0.17103033846673826</v>
      </c>
      <c r="AA316" t="str">
        <f t="shared" si="37"/>
        <v>May</v>
      </c>
      <c r="AB316">
        <f t="shared" si="38"/>
        <v>2025</v>
      </c>
      <c r="AC316" t="str">
        <f t="shared" si="39"/>
        <v>Clean</v>
      </c>
    </row>
    <row r="317" spans="1:29">
      <c r="A317" t="s">
        <v>1049</v>
      </c>
      <c r="B317" s="2">
        <v>45475</v>
      </c>
      <c r="C317" s="2">
        <v>45481</v>
      </c>
      <c r="D317" s="3">
        <f t="shared" si="32"/>
        <v>6</v>
      </c>
      <c r="E317" t="s">
        <v>1050</v>
      </c>
      <c r="F317" t="s">
        <v>141</v>
      </c>
      <c r="G317" t="s">
        <v>24</v>
      </c>
      <c r="H317" t="s">
        <v>25</v>
      </c>
      <c r="I317" t="s">
        <v>350</v>
      </c>
      <c r="J317" t="s">
        <v>351</v>
      </c>
      <c r="K317" t="s">
        <v>28</v>
      </c>
      <c r="L317" t="s">
        <v>29</v>
      </c>
      <c r="M317" t="s">
        <v>1051</v>
      </c>
      <c r="N317" t="s">
        <v>59</v>
      </c>
      <c r="O317">
        <v>9</v>
      </c>
      <c r="P317">
        <v>3450.4</v>
      </c>
      <c r="Q317" s="6">
        <v>0.05</v>
      </c>
      <c r="R317">
        <v>29500.92</v>
      </c>
      <c r="S317">
        <v>17989.68</v>
      </c>
      <c r="T317">
        <v>11511.24</v>
      </c>
      <c r="U317" t="s">
        <v>111</v>
      </c>
      <c r="V317" t="s">
        <v>103</v>
      </c>
      <c r="W317" s="8">
        <f t="shared" si="33"/>
        <v>0.05</v>
      </c>
      <c r="X317">
        <f t="shared" si="34"/>
        <v>29500.920000000002</v>
      </c>
      <c r="Y317">
        <f t="shared" si="35"/>
        <v>11511.240000000002</v>
      </c>
      <c r="Z317" s="8">
        <f t="shared" si="36"/>
        <v>0.39019935649464493</v>
      </c>
      <c r="AA317" t="str">
        <f t="shared" si="37"/>
        <v>July</v>
      </c>
      <c r="AB317">
        <f t="shared" si="38"/>
        <v>2024</v>
      </c>
      <c r="AC317" t="str">
        <f t="shared" si="39"/>
        <v>Clean</v>
      </c>
    </row>
    <row r="318" spans="1:29">
      <c r="A318" t="s">
        <v>1052</v>
      </c>
      <c r="B318" s="2">
        <v>45338</v>
      </c>
      <c r="C318" s="2">
        <v>45340</v>
      </c>
      <c r="D318" s="3">
        <f t="shared" si="32"/>
        <v>2</v>
      </c>
      <c r="E318" t="s">
        <v>1053</v>
      </c>
      <c r="F318" t="s">
        <v>23</v>
      </c>
      <c r="G318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1054</v>
      </c>
      <c r="N318" t="s">
        <v>59</v>
      </c>
      <c r="O318">
        <v>2</v>
      </c>
      <c r="P318">
        <v>1947.53</v>
      </c>
      <c r="Q318" s="6">
        <v>0.2</v>
      </c>
      <c r="R318">
        <v>3116.05</v>
      </c>
      <c r="S318">
        <v>1956.63</v>
      </c>
      <c r="T318">
        <v>1159.42</v>
      </c>
      <c r="U318" t="s">
        <v>32</v>
      </c>
      <c r="V318" t="s">
        <v>68</v>
      </c>
      <c r="W318" s="8">
        <f t="shared" si="33"/>
        <v>0.2</v>
      </c>
      <c r="X318">
        <f t="shared" si="34"/>
        <v>3116.0480000000002</v>
      </c>
      <c r="Y318">
        <f t="shared" si="35"/>
        <v>1159.4180000000001</v>
      </c>
      <c r="Z318" s="8">
        <f t="shared" si="36"/>
        <v>0.37207963420332424</v>
      </c>
      <c r="AA318" t="str">
        <f t="shared" si="37"/>
        <v>February</v>
      </c>
      <c r="AB318">
        <f t="shared" si="38"/>
        <v>2024</v>
      </c>
      <c r="AC318" t="str">
        <f t="shared" si="39"/>
        <v>Clean</v>
      </c>
    </row>
    <row r="319" spans="1:29">
      <c r="A319" t="s">
        <v>1055</v>
      </c>
      <c r="B319" s="2">
        <v>45898</v>
      </c>
      <c r="C319" s="2">
        <v>45904</v>
      </c>
      <c r="D319" s="3">
        <f t="shared" si="32"/>
        <v>6</v>
      </c>
      <c r="E319" t="s">
        <v>1056</v>
      </c>
      <c r="F319" t="s">
        <v>79</v>
      </c>
      <c r="G319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1057</v>
      </c>
      <c r="N319" t="s">
        <v>50</v>
      </c>
      <c r="O319">
        <v>9</v>
      </c>
      <c r="P319">
        <v>2996.97</v>
      </c>
      <c r="Q319" s="6">
        <v>0.15</v>
      </c>
      <c r="R319">
        <v>22926.82</v>
      </c>
      <c r="S319">
        <v>14621.59</v>
      </c>
      <c r="T319">
        <v>8305.23</v>
      </c>
      <c r="U319" t="s">
        <v>32</v>
      </c>
      <c r="V319" t="s">
        <v>33</v>
      </c>
      <c r="W319" s="8">
        <f t="shared" si="33"/>
        <v>0.15</v>
      </c>
      <c r="X319">
        <f t="shared" si="34"/>
        <v>22926.820499999998</v>
      </c>
      <c r="Y319">
        <f t="shared" si="35"/>
        <v>8305.2304999999978</v>
      </c>
      <c r="Z319" s="8">
        <f t="shared" si="36"/>
        <v>0.36224955396671765</v>
      </c>
      <c r="AA319" t="str">
        <f t="shared" si="37"/>
        <v>August</v>
      </c>
      <c r="AB319">
        <f t="shared" si="38"/>
        <v>2025</v>
      </c>
      <c r="AC319" t="str">
        <f t="shared" si="39"/>
        <v>Clean</v>
      </c>
    </row>
    <row r="320" spans="1:29">
      <c r="A320" t="s">
        <v>1058</v>
      </c>
      <c r="B320" s="2">
        <v>45407</v>
      </c>
      <c r="C320" s="2">
        <v>45412</v>
      </c>
      <c r="D320" s="3">
        <f t="shared" si="32"/>
        <v>5</v>
      </c>
      <c r="E320" t="s">
        <v>1059</v>
      </c>
      <c r="F320" t="s">
        <v>36</v>
      </c>
      <c r="G320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1060</v>
      </c>
      <c r="N320" t="s">
        <v>59</v>
      </c>
      <c r="O320">
        <v>3</v>
      </c>
      <c r="P320">
        <v>4149.46</v>
      </c>
      <c r="Q320" s="6">
        <v>0.1</v>
      </c>
      <c r="R320">
        <v>11203.54</v>
      </c>
      <c r="S320">
        <v>8452.93</v>
      </c>
      <c r="T320">
        <v>2750.61</v>
      </c>
      <c r="U320" t="s">
        <v>32</v>
      </c>
      <c r="V320" t="s">
        <v>33</v>
      </c>
      <c r="W320" s="8">
        <f t="shared" si="33"/>
        <v>0.1</v>
      </c>
      <c r="X320">
        <f t="shared" si="34"/>
        <v>11203.542000000001</v>
      </c>
      <c r="Y320">
        <f t="shared" si="35"/>
        <v>2750.612000000001</v>
      </c>
      <c r="Z320" s="8">
        <f t="shared" si="36"/>
        <v>0.24551271374713468</v>
      </c>
      <c r="AA320" t="str">
        <f t="shared" si="37"/>
        <v>April</v>
      </c>
      <c r="AB320">
        <f t="shared" si="38"/>
        <v>2024</v>
      </c>
      <c r="AC320" t="str">
        <f t="shared" si="39"/>
        <v>Clean</v>
      </c>
    </row>
    <row r="321" spans="1:29">
      <c r="A321" t="s">
        <v>1061</v>
      </c>
      <c r="B321" s="2">
        <v>45525</v>
      </c>
      <c r="C321" s="2">
        <v>45529</v>
      </c>
      <c r="D321" s="3">
        <f t="shared" si="32"/>
        <v>4</v>
      </c>
      <c r="E321" t="s">
        <v>1062</v>
      </c>
      <c r="F321" t="s">
        <v>162</v>
      </c>
      <c r="G321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1063</v>
      </c>
      <c r="N321" t="s">
        <v>50</v>
      </c>
      <c r="O321">
        <v>1</v>
      </c>
      <c r="P321">
        <v>270.27999999999997</v>
      </c>
      <c r="Q321" s="7">
        <v>0</v>
      </c>
      <c r="R321">
        <v>270.27999999999997</v>
      </c>
      <c r="S321">
        <v>156.34</v>
      </c>
      <c r="T321">
        <v>113.94</v>
      </c>
      <c r="U321" t="s">
        <v>32</v>
      </c>
      <c r="V321" t="s">
        <v>33</v>
      </c>
      <c r="W321" s="8">
        <f t="shared" si="33"/>
        <v>0</v>
      </c>
      <c r="X321">
        <f t="shared" si="34"/>
        <v>270.27999999999997</v>
      </c>
      <c r="Y321">
        <f t="shared" si="35"/>
        <v>113.93999999999997</v>
      </c>
      <c r="Z321" s="8">
        <f t="shared" si="36"/>
        <v>0.42156282373834536</v>
      </c>
      <c r="AA321" t="str">
        <f t="shared" si="37"/>
        <v>August</v>
      </c>
      <c r="AB321">
        <f t="shared" si="38"/>
        <v>2024</v>
      </c>
      <c r="AC321" t="str">
        <f t="shared" si="39"/>
        <v>Clean</v>
      </c>
    </row>
    <row r="322" spans="1:29">
      <c r="A322" t="s">
        <v>1064</v>
      </c>
      <c r="B322" s="2">
        <v>45630</v>
      </c>
      <c r="C322" s="2">
        <v>45632</v>
      </c>
      <c r="D322" s="3">
        <f t="shared" ref="D322:D385" si="40">C322-B322</f>
        <v>2</v>
      </c>
      <c r="E322" t="s">
        <v>1065</v>
      </c>
      <c r="F322" t="s">
        <v>128</v>
      </c>
      <c r="G322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1066</v>
      </c>
      <c r="N322" t="s">
        <v>31</v>
      </c>
      <c r="O322">
        <v>3</v>
      </c>
      <c r="P322">
        <v>876.14</v>
      </c>
      <c r="Q322" s="6">
        <v>0.7</v>
      </c>
      <c r="R322">
        <v>2628.42</v>
      </c>
      <c r="S322">
        <v>1541.54</v>
      </c>
      <c r="T322">
        <v>1086.8800000000001</v>
      </c>
      <c r="U322" t="s">
        <v>111</v>
      </c>
      <c r="V322" t="s">
        <v>103</v>
      </c>
      <c r="W322" s="8">
        <f t="shared" si="33"/>
        <v>0.7</v>
      </c>
      <c r="X322">
        <f t="shared" si="34"/>
        <v>788.52600000000018</v>
      </c>
      <c r="Y322">
        <f t="shared" si="35"/>
        <v>-753.01399999999978</v>
      </c>
      <c r="Z322" s="8">
        <f t="shared" si="36"/>
        <v>-0.95496407220560842</v>
      </c>
      <c r="AA322" t="str">
        <f t="shared" si="37"/>
        <v>December</v>
      </c>
      <c r="AB322">
        <f t="shared" si="38"/>
        <v>2024</v>
      </c>
      <c r="AC322" t="str">
        <f t="shared" si="39"/>
        <v>Clean</v>
      </c>
    </row>
    <row r="323" spans="1:29">
      <c r="A323" t="s">
        <v>1067</v>
      </c>
      <c r="B323" s="2">
        <v>45466</v>
      </c>
      <c r="C323" s="2">
        <v>45473</v>
      </c>
      <c r="D323" s="3">
        <f t="shared" si="40"/>
        <v>7</v>
      </c>
      <c r="E323" t="s">
        <v>1068</v>
      </c>
      <c r="F323" t="s">
        <v>79</v>
      </c>
      <c r="G323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1069</v>
      </c>
      <c r="N323" t="s">
        <v>44</v>
      </c>
      <c r="O323">
        <v>4</v>
      </c>
      <c r="P323">
        <v>674.82</v>
      </c>
      <c r="Q323" s="7">
        <v>0</v>
      </c>
      <c r="R323">
        <v>2699.28</v>
      </c>
      <c r="S323">
        <v>1759.76</v>
      </c>
      <c r="T323">
        <v>939.52</v>
      </c>
      <c r="U323" t="s">
        <v>155</v>
      </c>
      <c r="V323" t="s">
        <v>68</v>
      </c>
      <c r="W323" s="8">
        <f t="shared" ref="W323:W386" si="41">Q323</f>
        <v>0</v>
      </c>
      <c r="X323">
        <f t="shared" ref="X323:X386" si="42">O323*P323*(1-W323)</f>
        <v>2699.28</v>
      </c>
      <c r="Y323">
        <f t="shared" ref="Y323:Y386" si="43">X323-S323</f>
        <v>939.52000000000021</v>
      </c>
      <c r="Z323" s="8">
        <f t="shared" ref="Z323:Z386" si="44">IF(X323=0,0,Y323/X323)</f>
        <v>0.34806318722029583</v>
      </c>
      <c r="AA323" t="str">
        <f t="shared" ref="AA323:AA386" si="45">TEXT(B323,"mmmm")</f>
        <v>June</v>
      </c>
      <c r="AB323">
        <f t="shared" ref="AB323:AB386" si="46">YEAR(B323)</f>
        <v>2024</v>
      </c>
      <c r="AC323" t="str">
        <f t="shared" ref="AC323:AC386" si="47">IF(Q323&lt;0,"Invalid",IF(D323&lt;0,"Warning","Clean"))</f>
        <v>Clean</v>
      </c>
    </row>
    <row r="324" spans="1:29">
      <c r="A324" t="s">
        <v>1070</v>
      </c>
      <c r="B324" s="2">
        <v>45608</v>
      </c>
      <c r="C324" s="2">
        <v>45637</v>
      </c>
      <c r="D324" s="3">
        <f t="shared" si="40"/>
        <v>29</v>
      </c>
      <c r="E324" t="s">
        <v>1071</v>
      </c>
      <c r="F324" t="s">
        <v>47</v>
      </c>
      <c r="G324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1072</v>
      </c>
      <c r="N324" t="s">
        <v>31</v>
      </c>
      <c r="O324">
        <v>6</v>
      </c>
      <c r="P324">
        <v>1369.48</v>
      </c>
      <c r="Q324" s="6">
        <v>0.15</v>
      </c>
      <c r="R324">
        <v>6984.35</v>
      </c>
      <c r="S324">
        <v>4023.63</v>
      </c>
      <c r="T324">
        <v>2960.72</v>
      </c>
      <c r="U324" t="s">
        <v>32</v>
      </c>
      <c r="V324" t="s">
        <v>33</v>
      </c>
      <c r="W324" s="8">
        <f t="shared" si="41"/>
        <v>0.15</v>
      </c>
      <c r="X324">
        <f t="shared" si="42"/>
        <v>6984.3480000000009</v>
      </c>
      <c r="Y324">
        <f t="shared" si="43"/>
        <v>2960.7180000000008</v>
      </c>
      <c r="Z324" s="8">
        <f t="shared" si="44"/>
        <v>0.42390757161584736</v>
      </c>
      <c r="AA324" t="str">
        <f t="shared" si="45"/>
        <v>November</v>
      </c>
      <c r="AB324">
        <f t="shared" si="46"/>
        <v>2024</v>
      </c>
      <c r="AC324" t="str">
        <f t="shared" si="47"/>
        <v>Clean</v>
      </c>
    </row>
    <row r="325" spans="1:29">
      <c r="A325" t="s">
        <v>1073</v>
      </c>
      <c r="B325" s="2">
        <v>45347</v>
      </c>
      <c r="C325" s="2">
        <v>45351</v>
      </c>
      <c r="D325" s="3">
        <f t="shared" si="40"/>
        <v>4</v>
      </c>
      <c r="E325" t="s">
        <v>1074</v>
      </c>
      <c r="F325" t="s">
        <v>47</v>
      </c>
      <c r="G32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 s="6">
        <v>0.15</v>
      </c>
      <c r="R325">
        <v>10185.67</v>
      </c>
      <c r="S325">
        <v>6479.31</v>
      </c>
      <c r="T325">
        <v>3706.36</v>
      </c>
      <c r="U325" t="s">
        <v>32</v>
      </c>
      <c r="V325" t="s">
        <v>33</v>
      </c>
      <c r="W325" s="8">
        <f t="shared" si="41"/>
        <v>0.15</v>
      </c>
      <c r="X325">
        <f t="shared" si="42"/>
        <v>10185.669</v>
      </c>
      <c r="Y325">
        <f t="shared" si="43"/>
        <v>3706.3589999999995</v>
      </c>
      <c r="Z325" s="8">
        <f t="shared" si="44"/>
        <v>0.36387978050337189</v>
      </c>
      <c r="AA325" t="str">
        <f t="shared" si="45"/>
        <v>February</v>
      </c>
      <c r="AB325">
        <f t="shared" si="46"/>
        <v>2024</v>
      </c>
      <c r="AC325" t="str">
        <f t="shared" si="47"/>
        <v>Clean</v>
      </c>
    </row>
    <row r="326" spans="1:29">
      <c r="A326" t="s">
        <v>1075</v>
      </c>
      <c r="B326" s="2">
        <v>45869</v>
      </c>
      <c r="C326" s="2">
        <v>45696</v>
      </c>
      <c r="D326" s="5">
        <f t="shared" si="40"/>
        <v>-173</v>
      </c>
      <c r="E326" t="s">
        <v>1076</v>
      </c>
      <c r="F326" t="s">
        <v>141</v>
      </c>
      <c r="G326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1077</v>
      </c>
      <c r="N326" t="s">
        <v>44</v>
      </c>
      <c r="O326">
        <v>1</v>
      </c>
      <c r="P326">
        <v>1947.88</v>
      </c>
      <c r="Q326" s="6">
        <v>0.15</v>
      </c>
      <c r="R326">
        <v>1655.7</v>
      </c>
      <c r="S326">
        <v>1354.8</v>
      </c>
      <c r="T326">
        <v>300.89999999999998</v>
      </c>
      <c r="U326" t="s">
        <v>32</v>
      </c>
      <c r="V326" t="s">
        <v>103</v>
      </c>
      <c r="W326" s="8">
        <f t="shared" si="41"/>
        <v>0.15</v>
      </c>
      <c r="X326">
        <f t="shared" si="42"/>
        <v>1655.6980000000001</v>
      </c>
      <c r="Y326">
        <f t="shared" si="43"/>
        <v>300.89800000000014</v>
      </c>
      <c r="Z326" s="8">
        <f t="shared" si="44"/>
        <v>0.1817348332848141</v>
      </c>
      <c r="AA326" t="str">
        <f t="shared" si="45"/>
        <v>July</v>
      </c>
      <c r="AB326">
        <f t="shared" si="46"/>
        <v>2025</v>
      </c>
      <c r="AC326" t="str">
        <f t="shared" si="47"/>
        <v>Warning</v>
      </c>
    </row>
    <row r="327" spans="1:29">
      <c r="A327" t="s">
        <v>1078</v>
      </c>
      <c r="B327" s="2">
        <v>45916</v>
      </c>
      <c r="C327" s="2">
        <v>45922</v>
      </c>
      <c r="D327" s="3">
        <f t="shared" si="40"/>
        <v>6</v>
      </c>
      <c r="E327" t="s">
        <v>1079</v>
      </c>
      <c r="F327" t="s">
        <v>132</v>
      </c>
      <c r="G327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1080</v>
      </c>
      <c r="N327" t="s">
        <v>31</v>
      </c>
      <c r="O327">
        <v>5</v>
      </c>
      <c r="P327">
        <v>3671.2</v>
      </c>
      <c r="Q327" s="6">
        <v>0.15</v>
      </c>
      <c r="R327">
        <v>15602.6</v>
      </c>
      <c r="S327">
        <v>11908.52</v>
      </c>
      <c r="T327">
        <v>3694.08</v>
      </c>
      <c r="U327" t="s">
        <v>32</v>
      </c>
      <c r="V327" t="s">
        <v>33</v>
      </c>
      <c r="W327" s="8">
        <f t="shared" si="41"/>
        <v>0.15</v>
      </c>
      <c r="X327">
        <f t="shared" si="42"/>
        <v>15602.6</v>
      </c>
      <c r="Y327">
        <f t="shared" si="43"/>
        <v>3694.08</v>
      </c>
      <c r="Z327" s="8">
        <f t="shared" si="44"/>
        <v>0.236760539910015</v>
      </c>
      <c r="AA327" t="str">
        <f t="shared" si="45"/>
        <v>September</v>
      </c>
      <c r="AB327">
        <f t="shared" si="46"/>
        <v>2025</v>
      </c>
      <c r="AC327" t="str">
        <f t="shared" si="47"/>
        <v>Clean</v>
      </c>
    </row>
    <row r="328" spans="1:29">
      <c r="A328" t="s">
        <v>1081</v>
      </c>
      <c r="B328" s="2">
        <v>45860</v>
      </c>
      <c r="C328" s="2">
        <v>45860</v>
      </c>
      <c r="D328" s="3">
        <f t="shared" si="40"/>
        <v>0</v>
      </c>
      <c r="E328" t="s">
        <v>1082</v>
      </c>
      <c r="F328" t="s">
        <v>132</v>
      </c>
      <c r="G328" t="s">
        <v>90</v>
      </c>
      <c r="H328" t="s">
        <v>38</v>
      </c>
      <c r="I328" t="s">
        <v>228</v>
      </c>
      <c r="J328" t="s">
        <v>229</v>
      </c>
      <c r="K328" t="s">
        <v>41</v>
      </c>
      <c r="L328" t="s">
        <v>57</v>
      </c>
      <c r="M328" t="s">
        <v>1083</v>
      </c>
      <c r="N328" t="s">
        <v>44</v>
      </c>
      <c r="O328">
        <v>5</v>
      </c>
      <c r="P328">
        <v>3187.05</v>
      </c>
      <c r="Q328" s="6">
        <v>0.05</v>
      </c>
      <c r="R328">
        <v>15138.49</v>
      </c>
      <c r="S328">
        <v>11235.72</v>
      </c>
      <c r="T328">
        <v>3902.77</v>
      </c>
      <c r="U328" t="s">
        <v>32</v>
      </c>
      <c r="V328" t="s">
        <v>33</v>
      </c>
      <c r="W328" s="8">
        <f t="shared" si="41"/>
        <v>0.05</v>
      </c>
      <c r="X328">
        <f t="shared" si="42"/>
        <v>15138.487499999999</v>
      </c>
      <c r="Y328">
        <f t="shared" si="43"/>
        <v>3902.7674999999999</v>
      </c>
      <c r="Z328" s="8">
        <f t="shared" si="44"/>
        <v>0.25780432160082045</v>
      </c>
      <c r="AA328" t="str">
        <f t="shared" si="45"/>
        <v>July</v>
      </c>
      <c r="AB328">
        <f t="shared" si="46"/>
        <v>2025</v>
      </c>
      <c r="AC328" t="str">
        <f t="shared" si="47"/>
        <v>Clean</v>
      </c>
    </row>
    <row r="329" spans="1:29">
      <c r="A329" t="s">
        <v>1084</v>
      </c>
      <c r="B329" s="2">
        <v>45497</v>
      </c>
      <c r="C329" s="2">
        <v>45500</v>
      </c>
      <c r="D329" s="3">
        <f t="shared" si="40"/>
        <v>3</v>
      </c>
      <c r="E329" t="s">
        <v>1085</v>
      </c>
      <c r="F329" t="s">
        <v>47</v>
      </c>
      <c r="G329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1086</v>
      </c>
      <c r="N329" t="s">
        <v>31</v>
      </c>
      <c r="O329">
        <v>3</v>
      </c>
      <c r="P329">
        <v>1834.55</v>
      </c>
      <c r="Q329" s="6">
        <v>0.2</v>
      </c>
      <c r="R329">
        <v>4402.92</v>
      </c>
      <c r="S329">
        <v>2993.94</v>
      </c>
      <c r="T329">
        <v>1408.98</v>
      </c>
      <c r="U329" t="s">
        <v>111</v>
      </c>
      <c r="V329" t="s">
        <v>68</v>
      </c>
      <c r="W329" s="8">
        <f t="shared" si="41"/>
        <v>0.2</v>
      </c>
      <c r="X329">
        <f t="shared" si="42"/>
        <v>4402.92</v>
      </c>
      <c r="Y329">
        <f t="shared" si="43"/>
        <v>1408.98</v>
      </c>
      <c r="Z329" s="8">
        <f t="shared" si="44"/>
        <v>0.32001035676323897</v>
      </c>
      <c r="AA329" t="str">
        <f t="shared" si="45"/>
        <v>July</v>
      </c>
      <c r="AB329">
        <f t="shared" si="46"/>
        <v>2024</v>
      </c>
      <c r="AC329" t="str">
        <f t="shared" si="47"/>
        <v>Clean</v>
      </c>
    </row>
    <row r="330" spans="1:29">
      <c r="A330" t="s">
        <v>1087</v>
      </c>
      <c r="B330" s="2">
        <v>45806</v>
      </c>
      <c r="C330" s="2">
        <v>45812</v>
      </c>
      <c r="D330" s="3">
        <f t="shared" si="40"/>
        <v>6</v>
      </c>
      <c r="E330" t="s">
        <v>1088</v>
      </c>
      <c r="F330" t="s">
        <v>162</v>
      </c>
      <c r="G330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1089</v>
      </c>
      <c r="N330" t="s">
        <v>50</v>
      </c>
      <c r="O330">
        <v>6</v>
      </c>
      <c r="P330">
        <v>3100.68</v>
      </c>
      <c r="Q330" s="7">
        <v>0</v>
      </c>
      <c r="R330">
        <v>18604.080000000002</v>
      </c>
      <c r="S330">
        <v>15834.3</v>
      </c>
      <c r="T330">
        <v>2769.78</v>
      </c>
      <c r="U330" t="s">
        <v>32</v>
      </c>
      <c r="V330" t="s">
        <v>33</v>
      </c>
      <c r="W330" s="8">
        <f t="shared" si="41"/>
        <v>0</v>
      </c>
      <c r="X330">
        <f t="shared" si="42"/>
        <v>18604.079999999998</v>
      </c>
      <c r="Y330">
        <f t="shared" si="43"/>
        <v>2769.7799999999988</v>
      </c>
      <c r="Z330" s="8">
        <f t="shared" si="44"/>
        <v>0.1488802456235406</v>
      </c>
      <c r="AA330" t="str">
        <f t="shared" si="45"/>
        <v>May</v>
      </c>
      <c r="AB330">
        <f t="shared" si="46"/>
        <v>2025</v>
      </c>
      <c r="AC330" t="str">
        <f t="shared" si="47"/>
        <v>Clean</v>
      </c>
    </row>
    <row r="331" spans="1:29">
      <c r="A331" t="s">
        <v>1090</v>
      </c>
      <c r="B331" s="2">
        <v>45789</v>
      </c>
      <c r="C331" s="2">
        <v>45795</v>
      </c>
      <c r="D331" s="3">
        <f t="shared" si="40"/>
        <v>6</v>
      </c>
      <c r="E331" t="s">
        <v>1091</v>
      </c>
      <c r="F331" t="s">
        <v>79</v>
      </c>
      <c r="G331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1092</v>
      </c>
      <c r="N331" t="s">
        <v>59</v>
      </c>
      <c r="O331">
        <v>4</v>
      </c>
      <c r="P331">
        <v>4053.03</v>
      </c>
      <c r="Q331" s="6">
        <v>0.05</v>
      </c>
      <c r="R331">
        <v>15401.51</v>
      </c>
      <c r="S331">
        <v>8650.42</v>
      </c>
      <c r="T331">
        <v>6751.09</v>
      </c>
      <c r="U331" t="s">
        <v>32</v>
      </c>
      <c r="V331" t="s">
        <v>33</v>
      </c>
      <c r="W331" s="8">
        <f t="shared" si="41"/>
        <v>0.05</v>
      </c>
      <c r="X331">
        <f t="shared" si="42"/>
        <v>15401.513999999999</v>
      </c>
      <c r="Y331">
        <f t="shared" si="43"/>
        <v>6751.0939999999991</v>
      </c>
      <c r="Z331" s="8">
        <f t="shared" si="44"/>
        <v>0.43833963336331738</v>
      </c>
      <c r="AA331" t="str">
        <f t="shared" si="45"/>
        <v>May</v>
      </c>
      <c r="AB331">
        <f t="shared" si="46"/>
        <v>2025</v>
      </c>
      <c r="AC331" t="str">
        <f t="shared" si="47"/>
        <v>Clean</v>
      </c>
    </row>
    <row r="332" spans="1:29">
      <c r="A332" t="s">
        <v>1093</v>
      </c>
      <c r="B332" s="2">
        <v>45428</v>
      </c>
      <c r="C332" s="2">
        <v>45436</v>
      </c>
      <c r="D332" s="3">
        <f t="shared" si="40"/>
        <v>8</v>
      </c>
      <c r="E332" t="s">
        <v>1094</v>
      </c>
      <c r="F332" t="s">
        <v>53</v>
      </c>
      <c r="G332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1095</v>
      </c>
      <c r="N332" t="s">
        <v>44</v>
      </c>
      <c r="O332">
        <v>1</v>
      </c>
      <c r="P332">
        <v>783.09</v>
      </c>
      <c r="Q332" s="7">
        <v>0</v>
      </c>
      <c r="R332">
        <v>783.09</v>
      </c>
      <c r="S332">
        <v>503.89</v>
      </c>
      <c r="T332">
        <v>279.2</v>
      </c>
      <c r="U332" t="s">
        <v>155</v>
      </c>
      <c r="V332" t="s">
        <v>68</v>
      </c>
      <c r="W332" s="8">
        <f t="shared" si="41"/>
        <v>0</v>
      </c>
      <c r="X332">
        <f t="shared" si="42"/>
        <v>783.09</v>
      </c>
      <c r="Y332">
        <f t="shared" si="43"/>
        <v>279.20000000000005</v>
      </c>
      <c r="Z332" s="8">
        <f t="shared" si="44"/>
        <v>0.3565362857398256</v>
      </c>
      <c r="AA332" t="str">
        <f t="shared" si="45"/>
        <v>May</v>
      </c>
      <c r="AB332">
        <f t="shared" si="46"/>
        <v>2024</v>
      </c>
      <c r="AC332" t="str">
        <f t="shared" si="47"/>
        <v>Clean</v>
      </c>
    </row>
    <row r="333" spans="1:29">
      <c r="A333" s="4" t="s">
        <v>1096</v>
      </c>
      <c r="B333" s="2">
        <v>45394</v>
      </c>
      <c r="C333" s="2">
        <v>45632</v>
      </c>
      <c r="D333" s="3">
        <f t="shared" si="40"/>
        <v>238</v>
      </c>
      <c r="E333" t="s">
        <v>1097</v>
      </c>
      <c r="F333" t="s">
        <v>132</v>
      </c>
      <c r="G333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1098</v>
      </c>
      <c r="N333" t="s">
        <v>31</v>
      </c>
      <c r="O333">
        <v>4</v>
      </c>
      <c r="P333">
        <v>2685.66</v>
      </c>
      <c r="Q333" s="7">
        <v>0</v>
      </c>
      <c r="R333">
        <v>10742.64</v>
      </c>
      <c r="S333">
        <v>6477.37</v>
      </c>
      <c r="T333">
        <v>4265.2700000000004</v>
      </c>
      <c r="U333" t="s">
        <v>32</v>
      </c>
      <c r="V333" t="s">
        <v>103</v>
      </c>
      <c r="W333" s="8">
        <f t="shared" si="41"/>
        <v>0</v>
      </c>
      <c r="X333">
        <f t="shared" si="42"/>
        <v>10742.64</v>
      </c>
      <c r="Y333">
        <f t="shared" si="43"/>
        <v>4265.2699999999995</v>
      </c>
      <c r="Z333" s="8">
        <f t="shared" si="44"/>
        <v>0.39704113700170535</v>
      </c>
      <c r="AA333" t="str">
        <f t="shared" si="45"/>
        <v>April</v>
      </c>
      <c r="AB333">
        <f t="shared" si="46"/>
        <v>2024</v>
      </c>
      <c r="AC333" t="str">
        <f t="shared" si="47"/>
        <v>Clean</v>
      </c>
    </row>
    <row r="334" spans="1:29">
      <c r="A334" t="s">
        <v>1099</v>
      </c>
      <c r="B334" s="2">
        <v>45804</v>
      </c>
      <c r="C334" s="2">
        <v>45805</v>
      </c>
      <c r="D334" s="3">
        <f t="shared" si="40"/>
        <v>1</v>
      </c>
      <c r="E334" t="s">
        <v>1100</v>
      </c>
      <c r="F334" t="s">
        <v>128</v>
      </c>
      <c r="G334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274</v>
      </c>
      <c r="M334" t="s">
        <v>1101</v>
      </c>
      <c r="N334" t="s">
        <v>31</v>
      </c>
      <c r="O334">
        <v>2</v>
      </c>
      <c r="P334">
        <v>3911.96</v>
      </c>
      <c r="Q334" s="7">
        <v>0</v>
      </c>
      <c r="R334">
        <v>7823.92</v>
      </c>
      <c r="S334">
        <v>6034.63</v>
      </c>
      <c r="T334">
        <v>1789.29</v>
      </c>
      <c r="U334" t="s">
        <v>32</v>
      </c>
      <c r="V334" t="s">
        <v>33</v>
      </c>
      <c r="W334" s="8">
        <f t="shared" si="41"/>
        <v>0</v>
      </c>
      <c r="X334">
        <f t="shared" si="42"/>
        <v>7823.92</v>
      </c>
      <c r="Y334">
        <f t="shared" si="43"/>
        <v>1789.29</v>
      </c>
      <c r="Z334" s="8">
        <f t="shared" si="44"/>
        <v>0.22869482305545047</v>
      </c>
      <c r="AA334" t="str">
        <f t="shared" si="45"/>
        <v>May</v>
      </c>
      <c r="AB334">
        <f t="shared" si="46"/>
        <v>2025</v>
      </c>
      <c r="AC334" t="str">
        <f t="shared" si="47"/>
        <v>Clean</v>
      </c>
    </row>
    <row r="335" spans="1:29">
      <c r="A335" t="s">
        <v>1102</v>
      </c>
      <c r="B335" s="2">
        <v>45830</v>
      </c>
      <c r="C335" s="2">
        <v>45835</v>
      </c>
      <c r="D335" s="3">
        <f t="shared" si="40"/>
        <v>5</v>
      </c>
      <c r="E335" t="s">
        <v>1103</v>
      </c>
      <c r="F335" t="s">
        <v>141</v>
      </c>
      <c r="G335" t="s">
        <v>95</v>
      </c>
      <c r="H335" s="4" t="s">
        <v>2760</v>
      </c>
      <c r="I335" t="s">
        <v>350</v>
      </c>
      <c r="J335" t="s">
        <v>351</v>
      </c>
      <c r="K335" t="s">
        <v>74</v>
      </c>
      <c r="L335" t="s">
        <v>171</v>
      </c>
      <c r="M335" t="s">
        <v>1104</v>
      </c>
      <c r="N335" t="s">
        <v>50</v>
      </c>
      <c r="O335">
        <v>2</v>
      </c>
      <c r="P335">
        <v>1468.05</v>
      </c>
      <c r="Q335" s="7">
        <v>0</v>
      </c>
      <c r="R335">
        <v>2936.1</v>
      </c>
      <c r="S335">
        <v>1923.1</v>
      </c>
      <c r="T335">
        <v>1013</v>
      </c>
      <c r="U335" t="s">
        <v>32</v>
      </c>
      <c r="V335" t="s">
        <v>33</v>
      </c>
      <c r="W335" s="8">
        <f t="shared" si="41"/>
        <v>0</v>
      </c>
      <c r="X335">
        <f t="shared" si="42"/>
        <v>2936.1</v>
      </c>
      <c r="Y335">
        <f t="shared" si="43"/>
        <v>1013</v>
      </c>
      <c r="Z335" s="8">
        <f t="shared" si="44"/>
        <v>0.34501549674738602</v>
      </c>
      <c r="AA335" t="str">
        <f t="shared" si="45"/>
        <v>June</v>
      </c>
      <c r="AB335">
        <f t="shared" si="46"/>
        <v>2025</v>
      </c>
      <c r="AC335" t="str">
        <f t="shared" si="47"/>
        <v>Clean</v>
      </c>
    </row>
    <row r="336" spans="1:29">
      <c r="A336" t="s">
        <v>1105</v>
      </c>
      <c r="B336" s="2">
        <v>45547</v>
      </c>
      <c r="C336" s="2">
        <v>45552</v>
      </c>
      <c r="D336" s="3">
        <f t="shared" si="40"/>
        <v>5</v>
      </c>
      <c r="E336" t="s">
        <v>1106</v>
      </c>
      <c r="F336" t="s">
        <v>62</v>
      </c>
      <c r="G336" t="s">
        <v>24</v>
      </c>
      <c r="H336" t="s">
        <v>38</v>
      </c>
      <c r="I336" t="s">
        <v>228</v>
      </c>
      <c r="J336" t="s">
        <v>229</v>
      </c>
      <c r="K336" t="s">
        <v>28</v>
      </c>
      <c r="L336" t="s">
        <v>124</v>
      </c>
      <c r="M336" t="s">
        <v>1107</v>
      </c>
      <c r="N336" t="s">
        <v>50</v>
      </c>
      <c r="O336">
        <v>9</v>
      </c>
      <c r="P336">
        <v>1921.47</v>
      </c>
      <c r="Q336" s="6">
        <v>0.25</v>
      </c>
      <c r="R336">
        <v>12969.92</v>
      </c>
      <c r="S336">
        <v>9398.4599999999991</v>
      </c>
      <c r="T336">
        <v>3571.46</v>
      </c>
      <c r="U336" t="s">
        <v>32</v>
      </c>
      <c r="V336" t="s">
        <v>33</v>
      </c>
      <c r="W336" s="8">
        <f t="shared" si="41"/>
        <v>0.25</v>
      </c>
      <c r="X336">
        <f t="shared" si="42"/>
        <v>12969.922500000001</v>
      </c>
      <c r="Y336">
        <f t="shared" si="43"/>
        <v>3571.4625000000015</v>
      </c>
      <c r="Z336" s="8">
        <f t="shared" si="44"/>
        <v>0.27536498386941027</v>
      </c>
      <c r="AA336" t="str">
        <f t="shared" si="45"/>
        <v>September</v>
      </c>
      <c r="AB336">
        <f t="shared" si="46"/>
        <v>2024</v>
      </c>
      <c r="AC336" t="str">
        <f t="shared" si="47"/>
        <v>Clean</v>
      </c>
    </row>
    <row r="337" spans="1:29">
      <c r="A337" s="4" t="s">
        <v>1108</v>
      </c>
      <c r="B337" s="2">
        <v>45824</v>
      </c>
      <c r="C337" s="2">
        <v>45826</v>
      </c>
      <c r="D337" s="3">
        <f t="shared" si="40"/>
        <v>2</v>
      </c>
      <c r="E337" t="s">
        <v>1109</v>
      </c>
      <c r="F337" t="s">
        <v>118</v>
      </c>
      <c r="G337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1110</v>
      </c>
      <c r="N337" t="s">
        <v>50</v>
      </c>
      <c r="O337">
        <v>3</v>
      </c>
      <c r="P337">
        <v>4289.37</v>
      </c>
      <c r="Q337" s="6">
        <v>0.1</v>
      </c>
      <c r="R337">
        <v>11581.3</v>
      </c>
      <c r="S337">
        <v>6829.43</v>
      </c>
      <c r="T337">
        <v>4751.87</v>
      </c>
      <c r="U337" t="s">
        <v>32</v>
      </c>
      <c r="V337" t="s">
        <v>33</v>
      </c>
      <c r="W337" s="8">
        <f t="shared" si="41"/>
        <v>0.1</v>
      </c>
      <c r="X337">
        <f t="shared" si="42"/>
        <v>11581.299000000001</v>
      </c>
      <c r="Y337">
        <f t="shared" si="43"/>
        <v>4751.8690000000006</v>
      </c>
      <c r="Z337" s="8">
        <f t="shared" si="44"/>
        <v>0.41030535521101735</v>
      </c>
      <c r="AA337" t="str">
        <f t="shared" si="45"/>
        <v>June</v>
      </c>
      <c r="AB337">
        <f t="shared" si="46"/>
        <v>2025</v>
      </c>
      <c r="AC337" t="str">
        <f t="shared" si="47"/>
        <v>Clean</v>
      </c>
    </row>
    <row r="338" spans="1:29">
      <c r="A338" t="s">
        <v>1111</v>
      </c>
      <c r="B338" s="2">
        <v>45368</v>
      </c>
      <c r="C338" s="2">
        <v>45372</v>
      </c>
      <c r="D338" s="3">
        <f t="shared" si="40"/>
        <v>4</v>
      </c>
      <c r="E338" t="s">
        <v>863</v>
      </c>
      <c r="F338" t="s">
        <v>128</v>
      </c>
      <c r="G338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1112</v>
      </c>
      <c r="N338" t="s">
        <v>50</v>
      </c>
      <c r="O338">
        <v>8</v>
      </c>
      <c r="P338">
        <v>1992.57</v>
      </c>
      <c r="Q338" s="7">
        <v>0</v>
      </c>
      <c r="R338">
        <v>15940.56</v>
      </c>
      <c r="S338">
        <v>12347.15</v>
      </c>
      <c r="T338">
        <v>3593.41</v>
      </c>
      <c r="U338" t="s">
        <v>32</v>
      </c>
      <c r="V338" t="s">
        <v>33</v>
      </c>
      <c r="W338" s="8">
        <f t="shared" si="41"/>
        <v>0</v>
      </c>
      <c r="X338">
        <f t="shared" si="42"/>
        <v>15940.56</v>
      </c>
      <c r="Y338">
        <f t="shared" si="43"/>
        <v>3593.41</v>
      </c>
      <c r="Z338" s="8">
        <f t="shared" si="44"/>
        <v>0.2254255810335396</v>
      </c>
      <c r="AA338" t="str">
        <f t="shared" si="45"/>
        <v>March</v>
      </c>
      <c r="AB338">
        <f t="shared" si="46"/>
        <v>2024</v>
      </c>
      <c r="AC338" t="str">
        <f t="shared" si="47"/>
        <v>Clean</v>
      </c>
    </row>
    <row r="339" spans="1:29">
      <c r="A339" t="s">
        <v>1113</v>
      </c>
      <c r="B339" s="2">
        <v>45516</v>
      </c>
      <c r="C339" s="2">
        <v>45522</v>
      </c>
      <c r="D339" s="3">
        <f t="shared" si="40"/>
        <v>6</v>
      </c>
      <c r="E339" t="s">
        <v>1114</v>
      </c>
      <c r="F339" t="s">
        <v>62</v>
      </c>
      <c r="G339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1115</v>
      </c>
      <c r="N339" t="s">
        <v>44</v>
      </c>
      <c r="O339">
        <v>6</v>
      </c>
      <c r="P339">
        <v>1181.74</v>
      </c>
      <c r="Q339" s="7">
        <v>0</v>
      </c>
      <c r="R339">
        <v>7090.44</v>
      </c>
      <c r="S339">
        <v>5672.27</v>
      </c>
      <c r="T339">
        <v>1262.8699999999999</v>
      </c>
      <c r="U339" t="s">
        <v>32</v>
      </c>
      <c r="V339" t="s">
        <v>33</v>
      </c>
      <c r="W339" s="8">
        <f t="shared" si="41"/>
        <v>0</v>
      </c>
      <c r="X339">
        <f t="shared" si="42"/>
        <v>7090.4400000000005</v>
      </c>
      <c r="Y339">
        <f t="shared" si="43"/>
        <v>1418.17</v>
      </c>
      <c r="Z339" s="8">
        <f t="shared" si="44"/>
        <v>0.20001156486762456</v>
      </c>
      <c r="AA339" t="str">
        <f t="shared" si="45"/>
        <v>August</v>
      </c>
      <c r="AB339">
        <f t="shared" si="46"/>
        <v>2024</v>
      </c>
      <c r="AC339" t="str">
        <f t="shared" si="47"/>
        <v>Clean</v>
      </c>
    </row>
    <row r="340" spans="1:29">
      <c r="A340" t="s">
        <v>1116</v>
      </c>
      <c r="B340" s="2">
        <v>45516</v>
      </c>
      <c r="C340" s="2">
        <v>45634</v>
      </c>
      <c r="D340" s="3">
        <f t="shared" si="40"/>
        <v>118</v>
      </c>
      <c r="E340" t="s">
        <v>1117</v>
      </c>
      <c r="F340" t="s">
        <v>53</v>
      </c>
      <c r="G340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1118</v>
      </c>
      <c r="N340" t="s">
        <v>50</v>
      </c>
      <c r="O340">
        <v>8</v>
      </c>
      <c r="P340">
        <v>4402.3599999999997</v>
      </c>
      <c r="Q340" s="6">
        <v>0.25</v>
      </c>
      <c r="R340">
        <v>26414.16</v>
      </c>
      <c r="S340">
        <v>21822.53</v>
      </c>
      <c r="T340">
        <v>4591.63</v>
      </c>
      <c r="U340" t="s">
        <v>32</v>
      </c>
      <c r="V340" t="s">
        <v>33</v>
      </c>
      <c r="W340" s="8">
        <f t="shared" si="41"/>
        <v>0.25</v>
      </c>
      <c r="X340">
        <f t="shared" si="42"/>
        <v>26414.159999999996</v>
      </c>
      <c r="Y340">
        <f t="shared" si="43"/>
        <v>4591.6299999999974</v>
      </c>
      <c r="Z340" s="8">
        <f t="shared" si="44"/>
        <v>0.17383214154832097</v>
      </c>
      <c r="AA340" t="str">
        <f t="shared" si="45"/>
        <v>August</v>
      </c>
      <c r="AB340">
        <f t="shared" si="46"/>
        <v>2024</v>
      </c>
      <c r="AC340" t="str">
        <f t="shared" si="47"/>
        <v>Clean</v>
      </c>
    </row>
    <row r="341" spans="1:29">
      <c r="A341" t="s">
        <v>1119</v>
      </c>
      <c r="B341" s="2">
        <v>45708</v>
      </c>
      <c r="C341" s="2">
        <v>45710</v>
      </c>
      <c r="D341" s="3">
        <f t="shared" si="40"/>
        <v>2</v>
      </c>
      <c r="E341" t="s">
        <v>1120</v>
      </c>
      <c r="F341" t="s">
        <v>79</v>
      </c>
      <c r="G341" t="s">
        <v>90</v>
      </c>
      <c r="H341" t="s">
        <v>38</v>
      </c>
      <c r="I341" t="s">
        <v>228</v>
      </c>
      <c r="J341" t="s">
        <v>229</v>
      </c>
      <c r="K341" t="s">
        <v>41</v>
      </c>
      <c r="L341" t="s">
        <v>158</v>
      </c>
      <c r="M341" t="s">
        <v>1121</v>
      </c>
      <c r="N341" t="s">
        <v>59</v>
      </c>
      <c r="O341">
        <v>8</v>
      </c>
      <c r="P341">
        <v>3265.76</v>
      </c>
      <c r="Q341" s="6">
        <v>0.2</v>
      </c>
      <c r="R341">
        <v>20900.86</v>
      </c>
      <c r="S341">
        <v>12513.14</v>
      </c>
      <c r="T341">
        <v>8387.7199999999993</v>
      </c>
      <c r="U341" t="s">
        <v>32</v>
      </c>
      <c r="V341" t="s">
        <v>33</v>
      </c>
      <c r="W341" s="8">
        <f t="shared" si="41"/>
        <v>0.2</v>
      </c>
      <c r="X341">
        <f t="shared" si="42"/>
        <v>20900.864000000001</v>
      </c>
      <c r="Y341">
        <f t="shared" si="43"/>
        <v>8387.724000000002</v>
      </c>
      <c r="Z341" s="8">
        <f t="shared" si="44"/>
        <v>0.40130991714026759</v>
      </c>
      <c r="AA341" t="str">
        <f t="shared" si="45"/>
        <v>February</v>
      </c>
      <c r="AB341">
        <f t="shared" si="46"/>
        <v>2025</v>
      </c>
      <c r="AC341" t="str">
        <f t="shared" si="47"/>
        <v>Clean</v>
      </c>
    </row>
    <row r="342" spans="1:29">
      <c r="A342" t="s">
        <v>1122</v>
      </c>
      <c r="B342" s="2">
        <v>45312</v>
      </c>
      <c r="C342" s="2">
        <v>45320</v>
      </c>
      <c r="D342" s="3">
        <f t="shared" si="40"/>
        <v>8</v>
      </c>
      <c r="E342" t="s">
        <v>1123</v>
      </c>
      <c r="F342" t="s">
        <v>79</v>
      </c>
      <c r="G342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1124</v>
      </c>
      <c r="N342" t="s">
        <v>59</v>
      </c>
      <c r="O342">
        <v>5</v>
      </c>
      <c r="P342">
        <v>4058.08</v>
      </c>
      <c r="Q342" s="6">
        <v>0.1</v>
      </c>
      <c r="R342">
        <v>18261.36</v>
      </c>
      <c r="S342">
        <v>11399.94</v>
      </c>
      <c r="T342">
        <v>6861.42</v>
      </c>
      <c r="U342" t="s">
        <v>32</v>
      </c>
      <c r="V342" t="s">
        <v>33</v>
      </c>
      <c r="W342" s="8">
        <f t="shared" si="41"/>
        <v>0.1</v>
      </c>
      <c r="X342">
        <f t="shared" si="42"/>
        <v>18261.36</v>
      </c>
      <c r="Y342">
        <f t="shared" si="43"/>
        <v>6861.42</v>
      </c>
      <c r="Z342" s="8">
        <f t="shared" si="44"/>
        <v>0.3757343374206521</v>
      </c>
      <c r="AA342" t="str">
        <f t="shared" si="45"/>
        <v>January</v>
      </c>
      <c r="AB342">
        <f t="shared" si="46"/>
        <v>2024</v>
      </c>
      <c r="AC342" t="str">
        <f t="shared" si="47"/>
        <v>Clean</v>
      </c>
    </row>
    <row r="343" spans="1:29">
      <c r="A343" t="s">
        <v>1125</v>
      </c>
      <c r="B343" s="2">
        <v>45908</v>
      </c>
      <c r="C343" s="2">
        <v>45909</v>
      </c>
      <c r="D343" s="3">
        <f t="shared" si="40"/>
        <v>1</v>
      </c>
      <c r="E343" t="s">
        <v>1126</v>
      </c>
      <c r="F343" t="s">
        <v>141</v>
      </c>
      <c r="G343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1127</v>
      </c>
      <c r="N343" t="s">
        <v>31</v>
      </c>
      <c r="O343">
        <v>2</v>
      </c>
      <c r="P343">
        <v>3960.33</v>
      </c>
      <c r="Q343" s="6">
        <v>0.05</v>
      </c>
      <c r="R343">
        <v>7524.63</v>
      </c>
      <c r="S343">
        <v>6229.6</v>
      </c>
      <c r="T343">
        <v>1295.03</v>
      </c>
      <c r="U343" t="s">
        <v>32</v>
      </c>
      <c r="V343" t="s">
        <v>33</v>
      </c>
      <c r="W343" s="8">
        <f t="shared" si="41"/>
        <v>0.05</v>
      </c>
      <c r="X343">
        <f t="shared" si="42"/>
        <v>7524.6269999999995</v>
      </c>
      <c r="Y343">
        <f t="shared" si="43"/>
        <v>1295.0269999999991</v>
      </c>
      <c r="Z343" s="8">
        <f t="shared" si="44"/>
        <v>0.17210514222166751</v>
      </c>
      <c r="AA343" t="str">
        <f t="shared" si="45"/>
        <v>September</v>
      </c>
      <c r="AB343">
        <f t="shared" si="46"/>
        <v>2025</v>
      </c>
      <c r="AC343" t="str">
        <f t="shared" si="47"/>
        <v>Clean</v>
      </c>
    </row>
    <row r="344" spans="1:29">
      <c r="A344" t="s">
        <v>1128</v>
      </c>
      <c r="B344" s="2">
        <v>45862</v>
      </c>
      <c r="C344" s="2">
        <v>45665</v>
      </c>
      <c r="D344" s="5">
        <f t="shared" si="40"/>
        <v>-197</v>
      </c>
      <c r="E344" t="s">
        <v>1129</v>
      </c>
      <c r="F344" t="s">
        <v>264</v>
      </c>
      <c r="G344" t="s">
        <v>37</v>
      </c>
      <c r="H344" t="s">
        <v>38</v>
      </c>
      <c r="I344" t="s">
        <v>228</v>
      </c>
      <c r="J344" t="s">
        <v>229</v>
      </c>
      <c r="K344" t="s">
        <v>28</v>
      </c>
      <c r="L344" t="s">
        <v>153</v>
      </c>
      <c r="M344" t="s">
        <v>1130</v>
      </c>
      <c r="N344" t="s">
        <v>50</v>
      </c>
      <c r="O344">
        <v>8</v>
      </c>
      <c r="P344">
        <v>1528.92</v>
      </c>
      <c r="Q344" s="7">
        <v>0</v>
      </c>
      <c r="R344">
        <v>12231.36</v>
      </c>
      <c r="S344">
        <v>8766.9</v>
      </c>
      <c r="T344">
        <v>3464.46</v>
      </c>
      <c r="U344" t="s">
        <v>32</v>
      </c>
      <c r="V344" t="s">
        <v>33</v>
      </c>
      <c r="W344" s="8">
        <f t="shared" si="41"/>
        <v>0</v>
      </c>
      <c r="X344">
        <f t="shared" si="42"/>
        <v>12231.36</v>
      </c>
      <c r="Y344">
        <f t="shared" si="43"/>
        <v>3464.4600000000009</v>
      </c>
      <c r="Z344" s="8">
        <f t="shared" si="44"/>
        <v>0.28324405462679547</v>
      </c>
      <c r="AA344" t="str">
        <f t="shared" si="45"/>
        <v>July</v>
      </c>
      <c r="AB344">
        <f t="shared" si="46"/>
        <v>2025</v>
      </c>
      <c r="AC344" t="str">
        <f t="shared" si="47"/>
        <v>Warning</v>
      </c>
    </row>
    <row r="345" spans="1:29">
      <c r="A345" t="s">
        <v>1131</v>
      </c>
      <c r="B345" s="2">
        <v>45933</v>
      </c>
      <c r="C345" s="2">
        <v>45938</v>
      </c>
      <c r="D345" s="3">
        <f t="shared" si="40"/>
        <v>5</v>
      </c>
      <c r="E345" t="s">
        <v>1132</v>
      </c>
      <c r="F345" t="s">
        <v>128</v>
      </c>
      <c r="G34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274</v>
      </c>
      <c r="M345" t="s">
        <v>1133</v>
      </c>
      <c r="N345" t="s">
        <v>44</v>
      </c>
      <c r="O345">
        <v>9</v>
      </c>
      <c r="P345">
        <v>3837</v>
      </c>
      <c r="Q345" s="6">
        <v>0.1</v>
      </c>
      <c r="R345">
        <v>31079.7</v>
      </c>
      <c r="S345">
        <v>17758.25</v>
      </c>
      <c r="T345">
        <v>13321.45</v>
      </c>
      <c r="U345" t="s">
        <v>32</v>
      </c>
      <c r="V345" t="s">
        <v>33</v>
      </c>
      <c r="W345" s="8">
        <f t="shared" si="41"/>
        <v>0.1</v>
      </c>
      <c r="X345">
        <f t="shared" si="42"/>
        <v>31079.7</v>
      </c>
      <c r="Y345">
        <f t="shared" si="43"/>
        <v>13321.45</v>
      </c>
      <c r="Z345" s="8">
        <f t="shared" si="44"/>
        <v>0.4286222196481948</v>
      </c>
      <c r="AA345" t="str">
        <f t="shared" si="45"/>
        <v>October</v>
      </c>
      <c r="AB345">
        <f t="shared" si="46"/>
        <v>2025</v>
      </c>
      <c r="AC345" t="str">
        <f t="shared" si="47"/>
        <v>Clean</v>
      </c>
    </row>
    <row r="346" spans="1:29">
      <c r="A346" t="s">
        <v>1134</v>
      </c>
      <c r="B346" s="2">
        <v>45599</v>
      </c>
      <c r="C346" s="2">
        <v>45599</v>
      </c>
      <c r="D346" s="3">
        <f t="shared" si="40"/>
        <v>0</v>
      </c>
      <c r="E346" t="s">
        <v>1135</v>
      </c>
      <c r="F346" t="s">
        <v>114</v>
      </c>
      <c r="G346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1136</v>
      </c>
      <c r="N346" t="s">
        <v>44</v>
      </c>
      <c r="O346">
        <v>9</v>
      </c>
      <c r="P346">
        <v>3456.38</v>
      </c>
      <c r="Q346" s="7">
        <v>0</v>
      </c>
      <c r="R346">
        <v>31107.42</v>
      </c>
      <c r="S346">
        <v>20146.66</v>
      </c>
      <c r="T346">
        <v>10960.76</v>
      </c>
      <c r="U346" t="s">
        <v>111</v>
      </c>
      <c r="V346" t="s">
        <v>103</v>
      </c>
      <c r="W346" s="8">
        <f t="shared" si="41"/>
        <v>0</v>
      </c>
      <c r="X346">
        <f t="shared" si="42"/>
        <v>31107.420000000002</v>
      </c>
      <c r="Y346">
        <f t="shared" si="43"/>
        <v>10960.760000000002</v>
      </c>
      <c r="Z346" s="8">
        <f t="shared" si="44"/>
        <v>0.3523519468988428</v>
      </c>
      <c r="AA346" t="str">
        <f t="shared" si="45"/>
        <v>November</v>
      </c>
      <c r="AB346">
        <f t="shared" si="46"/>
        <v>2024</v>
      </c>
      <c r="AC346" t="str">
        <f t="shared" si="47"/>
        <v>Clean</v>
      </c>
    </row>
    <row r="347" spans="1:29">
      <c r="A347" t="s">
        <v>1137</v>
      </c>
      <c r="B347" s="2">
        <v>45549</v>
      </c>
      <c r="C347" s="2">
        <v>45557</v>
      </c>
      <c r="D347" s="3">
        <f t="shared" si="40"/>
        <v>8</v>
      </c>
      <c r="E347" t="s">
        <v>1138</v>
      </c>
      <c r="F347" t="s">
        <v>23</v>
      </c>
      <c r="G347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1139</v>
      </c>
      <c r="N347" t="s">
        <v>31</v>
      </c>
      <c r="O347">
        <v>2</v>
      </c>
      <c r="P347">
        <v>2765.3</v>
      </c>
      <c r="Q347" s="7">
        <v>0</v>
      </c>
      <c r="R347">
        <v>5530.6</v>
      </c>
      <c r="S347">
        <v>4453.1099999999997</v>
      </c>
      <c r="T347">
        <v>1077.49</v>
      </c>
      <c r="U347" t="s">
        <v>32</v>
      </c>
      <c r="V347" t="s">
        <v>33</v>
      </c>
      <c r="W347" s="8">
        <f t="shared" si="41"/>
        <v>0</v>
      </c>
      <c r="X347">
        <f t="shared" si="42"/>
        <v>5530.6</v>
      </c>
      <c r="Y347">
        <f t="shared" si="43"/>
        <v>1077.4900000000007</v>
      </c>
      <c r="Z347" s="8">
        <f t="shared" si="44"/>
        <v>0.19482334647235391</v>
      </c>
      <c r="AA347" t="str">
        <f t="shared" si="45"/>
        <v>September</v>
      </c>
      <c r="AB347">
        <f t="shared" si="46"/>
        <v>2024</v>
      </c>
      <c r="AC347" t="str">
        <f t="shared" si="47"/>
        <v>Clean</v>
      </c>
    </row>
    <row r="348" spans="1:29">
      <c r="A348" t="s">
        <v>1140</v>
      </c>
      <c r="B348" s="2">
        <v>45860</v>
      </c>
      <c r="C348" s="2">
        <v>45866</v>
      </c>
      <c r="D348" s="3">
        <f t="shared" si="40"/>
        <v>6</v>
      </c>
      <c r="E348" t="s">
        <v>1141</v>
      </c>
      <c r="F348" t="s">
        <v>118</v>
      </c>
      <c r="G348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1142</v>
      </c>
      <c r="N348" t="s">
        <v>31</v>
      </c>
      <c r="O348">
        <v>6</v>
      </c>
      <c r="P348">
        <v>1607.46</v>
      </c>
      <c r="Q348" s="6">
        <v>0.2</v>
      </c>
      <c r="R348">
        <v>7715.81</v>
      </c>
      <c r="S348">
        <v>4258.42</v>
      </c>
      <c r="T348">
        <v>3457.39</v>
      </c>
      <c r="U348" t="s">
        <v>32</v>
      </c>
      <c r="V348" t="s">
        <v>33</v>
      </c>
      <c r="W348" s="8">
        <f t="shared" si="41"/>
        <v>0.2</v>
      </c>
      <c r="X348">
        <f t="shared" si="42"/>
        <v>7715.8080000000009</v>
      </c>
      <c r="Y348">
        <f t="shared" si="43"/>
        <v>3457.3880000000008</v>
      </c>
      <c r="Z348" s="8">
        <f t="shared" si="44"/>
        <v>0.4480915025360922</v>
      </c>
      <c r="AA348" t="str">
        <f t="shared" si="45"/>
        <v>July</v>
      </c>
      <c r="AB348">
        <f t="shared" si="46"/>
        <v>2025</v>
      </c>
      <c r="AC348" t="str">
        <f t="shared" si="47"/>
        <v>Clean</v>
      </c>
    </row>
    <row r="349" spans="1:29">
      <c r="A349" t="s">
        <v>1143</v>
      </c>
      <c r="B349" s="2">
        <v>45303</v>
      </c>
      <c r="C349" s="2">
        <v>45634</v>
      </c>
      <c r="D349" s="3">
        <f t="shared" si="40"/>
        <v>331</v>
      </c>
      <c r="E349" t="s">
        <v>1144</v>
      </c>
      <c r="F349" t="s">
        <v>128</v>
      </c>
      <c r="G349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1145</v>
      </c>
      <c r="N349" t="s">
        <v>31</v>
      </c>
      <c r="O349">
        <v>5</v>
      </c>
      <c r="P349">
        <v>2981.49</v>
      </c>
      <c r="Q349" s="6">
        <v>0.2</v>
      </c>
      <c r="R349">
        <v>11925.96</v>
      </c>
      <c r="S349">
        <v>10103.51</v>
      </c>
      <c r="T349">
        <v>1822.45</v>
      </c>
      <c r="U349" t="s">
        <v>102</v>
      </c>
      <c r="V349" t="s">
        <v>103</v>
      </c>
      <c r="W349" s="8">
        <f t="shared" si="41"/>
        <v>0.2</v>
      </c>
      <c r="X349">
        <f t="shared" si="42"/>
        <v>11925.96</v>
      </c>
      <c r="Y349">
        <f t="shared" si="43"/>
        <v>1822.4499999999989</v>
      </c>
      <c r="Z349" s="8">
        <f t="shared" si="44"/>
        <v>0.15281369382422874</v>
      </c>
      <c r="AA349" t="str">
        <f t="shared" si="45"/>
        <v>January</v>
      </c>
      <c r="AB349">
        <f t="shared" si="46"/>
        <v>2024</v>
      </c>
      <c r="AC349" t="str">
        <f t="shared" si="47"/>
        <v>Clean</v>
      </c>
    </row>
    <row r="350" spans="1:29">
      <c r="A350" t="s">
        <v>1146</v>
      </c>
      <c r="B350" s="2">
        <v>45445</v>
      </c>
      <c r="C350" s="2">
        <v>45450</v>
      </c>
      <c r="D350" s="3">
        <f t="shared" si="40"/>
        <v>5</v>
      </c>
      <c r="E350" t="s">
        <v>1147</v>
      </c>
      <c r="F350" t="s">
        <v>128</v>
      </c>
      <c r="G350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1148</v>
      </c>
      <c r="N350" t="s">
        <v>44</v>
      </c>
      <c r="O350">
        <v>9</v>
      </c>
      <c r="P350">
        <v>2860.26</v>
      </c>
      <c r="Q350" s="6">
        <v>0.25</v>
      </c>
      <c r="R350">
        <v>19306.759999999998</v>
      </c>
      <c r="S350">
        <v>14442.38</v>
      </c>
      <c r="T350">
        <v>4864.38</v>
      </c>
      <c r="U350" t="s">
        <v>32</v>
      </c>
      <c r="V350" t="s">
        <v>33</v>
      </c>
      <c r="W350" s="8">
        <f t="shared" si="41"/>
        <v>0.25</v>
      </c>
      <c r="X350">
        <f t="shared" si="42"/>
        <v>19306.755000000005</v>
      </c>
      <c r="Y350">
        <f t="shared" si="43"/>
        <v>4864.3750000000055</v>
      </c>
      <c r="Z350" s="8">
        <f t="shared" si="44"/>
        <v>0.25195197225012717</v>
      </c>
      <c r="AA350" t="str">
        <f t="shared" si="45"/>
        <v>June</v>
      </c>
      <c r="AB350">
        <f t="shared" si="46"/>
        <v>2024</v>
      </c>
      <c r="AC350" t="str">
        <f t="shared" si="47"/>
        <v>Clean</v>
      </c>
    </row>
    <row r="351" spans="1:29">
      <c r="A351" t="s">
        <v>1149</v>
      </c>
      <c r="B351" s="2">
        <v>45927</v>
      </c>
      <c r="C351" s="2">
        <v>45929</v>
      </c>
      <c r="D351" s="3">
        <f t="shared" si="40"/>
        <v>2</v>
      </c>
      <c r="E351" t="s">
        <v>1150</v>
      </c>
      <c r="F351" t="s">
        <v>264</v>
      </c>
      <c r="G351" t="s">
        <v>95</v>
      </c>
      <c r="H351" t="s">
        <v>38</v>
      </c>
      <c r="I351" t="s">
        <v>228</v>
      </c>
      <c r="J351" t="s">
        <v>229</v>
      </c>
      <c r="K351" t="s">
        <v>41</v>
      </c>
      <c r="L351" t="s">
        <v>57</v>
      </c>
      <c r="M351" t="s">
        <v>1151</v>
      </c>
      <c r="N351" t="s">
        <v>31</v>
      </c>
      <c r="O351">
        <v>9</v>
      </c>
      <c r="P351">
        <v>2867.55</v>
      </c>
      <c r="Q351" s="6">
        <v>0.25</v>
      </c>
      <c r="R351">
        <v>19355.96</v>
      </c>
      <c r="S351">
        <v>15012.45</v>
      </c>
      <c r="T351">
        <v>4017.4</v>
      </c>
      <c r="U351" t="s">
        <v>32</v>
      </c>
      <c r="V351" t="s">
        <v>33</v>
      </c>
      <c r="W351" s="8">
        <f t="shared" si="41"/>
        <v>0.25</v>
      </c>
      <c r="X351">
        <f t="shared" si="42"/>
        <v>19355.962500000001</v>
      </c>
      <c r="Y351">
        <f t="shared" si="43"/>
        <v>4343.5125000000007</v>
      </c>
      <c r="Z351" s="8">
        <f t="shared" si="44"/>
        <v>0.22440178317146461</v>
      </c>
      <c r="AA351" t="str">
        <f t="shared" si="45"/>
        <v>September</v>
      </c>
      <c r="AB351">
        <f t="shared" si="46"/>
        <v>2025</v>
      </c>
      <c r="AC351" t="str">
        <f t="shared" si="47"/>
        <v>Clean</v>
      </c>
    </row>
    <row r="352" spans="1:29">
      <c r="A352" t="s">
        <v>1152</v>
      </c>
      <c r="B352" s="2">
        <v>45474</v>
      </c>
      <c r="C352" s="2">
        <v>45305</v>
      </c>
      <c r="D352" s="5">
        <f t="shared" si="40"/>
        <v>-169</v>
      </c>
      <c r="E352" t="s">
        <v>1153</v>
      </c>
      <c r="F352" t="s">
        <v>132</v>
      </c>
      <c r="G352" t="s">
        <v>37</v>
      </c>
      <c r="H352" t="s">
        <v>38</v>
      </c>
      <c r="I352" t="s">
        <v>228</v>
      </c>
      <c r="J352" t="s">
        <v>229</v>
      </c>
      <c r="K352" t="s">
        <v>41</v>
      </c>
      <c r="L352" t="s">
        <v>57</v>
      </c>
      <c r="M352" t="s">
        <v>1154</v>
      </c>
      <c r="N352" t="s">
        <v>31</v>
      </c>
      <c r="O352">
        <v>4</v>
      </c>
      <c r="P352">
        <v>3309.54</v>
      </c>
      <c r="Q352" s="6">
        <v>0.1</v>
      </c>
      <c r="R352">
        <v>11914.34</v>
      </c>
      <c r="S352">
        <v>9771.24</v>
      </c>
      <c r="T352">
        <v>2143.1</v>
      </c>
      <c r="U352" t="s">
        <v>102</v>
      </c>
      <c r="V352" t="s">
        <v>103</v>
      </c>
      <c r="W352" s="8">
        <f t="shared" si="41"/>
        <v>0.1</v>
      </c>
      <c r="X352">
        <f t="shared" si="42"/>
        <v>11914.344000000001</v>
      </c>
      <c r="Y352">
        <f t="shared" si="43"/>
        <v>2143.1040000000012</v>
      </c>
      <c r="Z352" s="8">
        <f t="shared" si="44"/>
        <v>0.17987595456367561</v>
      </c>
      <c r="AA352" t="str">
        <f t="shared" si="45"/>
        <v>July</v>
      </c>
      <c r="AB352">
        <f t="shared" si="46"/>
        <v>2024</v>
      </c>
      <c r="AC352" t="str">
        <f t="shared" si="47"/>
        <v>Warning</v>
      </c>
    </row>
    <row r="353" spans="1:29">
      <c r="A353" t="s">
        <v>1155</v>
      </c>
      <c r="B353" s="2">
        <v>45800</v>
      </c>
      <c r="C353" s="2">
        <v>45804</v>
      </c>
      <c r="D353" s="3">
        <f t="shared" si="40"/>
        <v>4</v>
      </c>
      <c r="E353" t="s">
        <v>1156</v>
      </c>
      <c r="F353" t="s">
        <v>71</v>
      </c>
      <c r="G353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1157</v>
      </c>
      <c r="N353" t="s">
        <v>50</v>
      </c>
      <c r="O353">
        <v>6</v>
      </c>
      <c r="P353">
        <v>719.44</v>
      </c>
      <c r="Q353" s="6">
        <v>0.25</v>
      </c>
      <c r="R353">
        <v>3237.48</v>
      </c>
      <c r="S353">
        <v>2118.34</v>
      </c>
      <c r="T353">
        <v>1119.1400000000001</v>
      </c>
      <c r="U353" t="s">
        <v>111</v>
      </c>
      <c r="V353" t="s">
        <v>68</v>
      </c>
      <c r="W353" s="8">
        <f t="shared" si="41"/>
        <v>0.25</v>
      </c>
      <c r="X353">
        <f t="shared" si="42"/>
        <v>3237.4800000000005</v>
      </c>
      <c r="Y353">
        <f t="shared" si="43"/>
        <v>1119.1400000000003</v>
      </c>
      <c r="Z353" s="8">
        <f t="shared" si="44"/>
        <v>0.34568244437031276</v>
      </c>
      <c r="AA353" t="str">
        <f t="shared" si="45"/>
        <v>May</v>
      </c>
      <c r="AB353">
        <f t="shared" si="46"/>
        <v>2025</v>
      </c>
      <c r="AC353" t="str">
        <f t="shared" si="47"/>
        <v>Clean</v>
      </c>
    </row>
    <row r="354" spans="1:29">
      <c r="A354" t="s">
        <v>1158</v>
      </c>
      <c r="B354" s="2">
        <v>45884</v>
      </c>
      <c r="C354" s="2">
        <v>45886</v>
      </c>
      <c r="D354" s="3">
        <f t="shared" si="40"/>
        <v>2</v>
      </c>
      <c r="E354" t="s">
        <v>1159</v>
      </c>
      <c r="F354" t="s">
        <v>162</v>
      </c>
      <c r="G354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1160</v>
      </c>
      <c r="N354" t="s">
        <v>50</v>
      </c>
      <c r="O354">
        <v>5</v>
      </c>
      <c r="P354">
        <v>2862.6</v>
      </c>
      <c r="Q354" s="6">
        <v>0.25</v>
      </c>
      <c r="R354">
        <v>10734.75</v>
      </c>
      <c r="S354">
        <v>6475.73</v>
      </c>
      <c r="T354">
        <v>4259.0200000000004</v>
      </c>
      <c r="U354" t="s">
        <v>32</v>
      </c>
      <c r="V354" t="s">
        <v>33</v>
      </c>
      <c r="W354" s="8">
        <f t="shared" si="41"/>
        <v>0.25</v>
      </c>
      <c r="X354">
        <f t="shared" si="42"/>
        <v>10734.75</v>
      </c>
      <c r="Y354">
        <f t="shared" si="43"/>
        <v>4259.0200000000004</v>
      </c>
      <c r="Z354" s="8">
        <f t="shared" si="44"/>
        <v>0.39675073942103917</v>
      </c>
      <c r="AA354" t="str">
        <f t="shared" si="45"/>
        <v>August</v>
      </c>
      <c r="AB354">
        <f t="shared" si="46"/>
        <v>2025</v>
      </c>
      <c r="AC354" t="str">
        <f t="shared" si="47"/>
        <v>Clean</v>
      </c>
    </row>
    <row r="355" spans="1:29">
      <c r="A355" t="s">
        <v>1161</v>
      </c>
      <c r="B355" s="2">
        <v>45709</v>
      </c>
      <c r="C355" s="2">
        <v>45715</v>
      </c>
      <c r="D355" s="3">
        <f t="shared" si="40"/>
        <v>6</v>
      </c>
      <c r="E355" t="s">
        <v>1162</v>
      </c>
      <c r="F355" t="s">
        <v>62</v>
      </c>
      <c r="G35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1163</v>
      </c>
      <c r="N355" t="s">
        <v>44</v>
      </c>
      <c r="O355">
        <v>9</v>
      </c>
      <c r="P355">
        <v>1431.67</v>
      </c>
      <c r="Q355" s="6">
        <v>0.2</v>
      </c>
      <c r="R355">
        <v>10308.02</v>
      </c>
      <c r="S355">
        <v>5822.31</v>
      </c>
      <c r="T355">
        <v>4485.71</v>
      </c>
      <c r="U355" t="s">
        <v>32</v>
      </c>
      <c r="V355" t="s">
        <v>33</v>
      </c>
      <c r="W355" s="8">
        <f t="shared" si="41"/>
        <v>0.2</v>
      </c>
      <c r="X355">
        <f t="shared" si="42"/>
        <v>10308.024000000001</v>
      </c>
      <c r="Y355">
        <f t="shared" si="43"/>
        <v>4485.7140000000009</v>
      </c>
      <c r="Z355" s="8">
        <f t="shared" si="44"/>
        <v>0.4351672056642476</v>
      </c>
      <c r="AA355" t="str">
        <f t="shared" si="45"/>
        <v>February</v>
      </c>
      <c r="AB355">
        <f t="shared" si="46"/>
        <v>2025</v>
      </c>
      <c r="AC355" t="str">
        <f t="shared" si="47"/>
        <v>Clean</v>
      </c>
    </row>
    <row r="356" spans="1:29">
      <c r="A356" t="s">
        <v>1164</v>
      </c>
      <c r="B356" s="2">
        <v>45653</v>
      </c>
      <c r="C356" s="2">
        <v>45657</v>
      </c>
      <c r="D356" s="3">
        <f t="shared" si="40"/>
        <v>4</v>
      </c>
      <c r="E356" t="s">
        <v>1165</v>
      </c>
      <c r="F356" t="s">
        <v>264</v>
      </c>
      <c r="G356" t="s">
        <v>90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1166</v>
      </c>
      <c r="N356" t="s">
        <v>59</v>
      </c>
      <c r="O356">
        <v>6</v>
      </c>
      <c r="P356">
        <v>3346.78</v>
      </c>
      <c r="Q356" s="7">
        <v>-0.06</v>
      </c>
      <c r="R356">
        <v>20080.68</v>
      </c>
      <c r="S356">
        <v>12908.84</v>
      </c>
      <c r="T356">
        <v>7171.84</v>
      </c>
      <c r="U356" t="s">
        <v>111</v>
      </c>
      <c r="V356" t="s">
        <v>68</v>
      </c>
      <c r="W356" s="8">
        <f t="shared" si="41"/>
        <v>-0.06</v>
      </c>
      <c r="X356">
        <f t="shared" si="42"/>
        <v>21285.520800000002</v>
      </c>
      <c r="Y356">
        <f t="shared" si="43"/>
        <v>8376.6808000000019</v>
      </c>
      <c r="Z356" s="8">
        <f t="shared" si="44"/>
        <v>0.39353891683965753</v>
      </c>
      <c r="AA356" t="str">
        <f t="shared" si="45"/>
        <v>December</v>
      </c>
      <c r="AB356">
        <f t="shared" si="46"/>
        <v>2024</v>
      </c>
      <c r="AC356" t="str">
        <f t="shared" si="47"/>
        <v>Invalid</v>
      </c>
    </row>
    <row r="357" spans="1:29">
      <c r="A357" t="s">
        <v>1167</v>
      </c>
      <c r="B357" s="2">
        <v>45631</v>
      </c>
      <c r="C357" s="2">
        <v>45421</v>
      </c>
      <c r="D357" s="5">
        <f t="shared" si="40"/>
        <v>-210</v>
      </c>
      <c r="E357" t="s">
        <v>1168</v>
      </c>
      <c r="F357" t="s">
        <v>114</v>
      </c>
      <c r="G357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1169</v>
      </c>
      <c r="N357" t="s">
        <v>59</v>
      </c>
      <c r="O357">
        <v>5</v>
      </c>
      <c r="P357">
        <v>3203.48</v>
      </c>
      <c r="Q357" s="7">
        <v>0</v>
      </c>
      <c r="R357">
        <v>16017.4</v>
      </c>
      <c r="S357">
        <v>9557.7999999999993</v>
      </c>
      <c r="T357">
        <v>6459.6</v>
      </c>
      <c r="U357" t="s">
        <v>111</v>
      </c>
      <c r="V357" t="s">
        <v>68</v>
      </c>
      <c r="W357" s="8">
        <f t="shared" si="41"/>
        <v>0</v>
      </c>
      <c r="X357">
        <f t="shared" si="42"/>
        <v>16017.4</v>
      </c>
      <c r="Y357">
        <f t="shared" si="43"/>
        <v>6459.6</v>
      </c>
      <c r="Z357" s="8">
        <f t="shared" si="44"/>
        <v>0.40328642601171227</v>
      </c>
      <c r="AA357" t="str">
        <f t="shared" si="45"/>
        <v>December</v>
      </c>
      <c r="AB357">
        <f t="shared" si="46"/>
        <v>2024</v>
      </c>
      <c r="AC357" t="str">
        <f t="shared" si="47"/>
        <v>Warning</v>
      </c>
    </row>
    <row r="358" spans="1:29">
      <c r="A358" t="s">
        <v>1170</v>
      </c>
      <c r="B358" s="2">
        <v>45835</v>
      </c>
      <c r="C358" s="2">
        <v>45837</v>
      </c>
      <c r="D358" s="3">
        <f t="shared" si="40"/>
        <v>2</v>
      </c>
      <c r="E358" t="s">
        <v>1171</v>
      </c>
      <c r="F358" t="s">
        <v>141</v>
      </c>
      <c r="G358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1172</v>
      </c>
      <c r="N358" t="s">
        <v>50</v>
      </c>
      <c r="O358">
        <v>5</v>
      </c>
      <c r="P358">
        <v>621.70000000000005</v>
      </c>
      <c r="Q358" s="6">
        <v>0.2</v>
      </c>
      <c r="R358">
        <v>2486.8000000000002</v>
      </c>
      <c r="S358">
        <v>2131.73</v>
      </c>
      <c r="T358">
        <v>355.07</v>
      </c>
      <c r="U358" t="s">
        <v>111</v>
      </c>
      <c r="V358" t="s">
        <v>103</v>
      </c>
      <c r="W358" s="8">
        <f t="shared" si="41"/>
        <v>0.2</v>
      </c>
      <c r="X358">
        <f t="shared" si="42"/>
        <v>2486.8000000000002</v>
      </c>
      <c r="Y358">
        <f t="shared" si="43"/>
        <v>355.07000000000016</v>
      </c>
      <c r="Z358" s="8">
        <f t="shared" si="44"/>
        <v>0.1427818883705968</v>
      </c>
      <c r="AA358" t="str">
        <f t="shared" si="45"/>
        <v>June</v>
      </c>
      <c r="AB358">
        <f t="shared" si="46"/>
        <v>2025</v>
      </c>
      <c r="AC358" t="str">
        <f t="shared" si="47"/>
        <v>Clean</v>
      </c>
    </row>
    <row r="359" spans="1:29">
      <c r="A359" t="s">
        <v>1173</v>
      </c>
      <c r="B359" s="2">
        <v>45678</v>
      </c>
      <c r="C359" s="2">
        <v>45686</v>
      </c>
      <c r="D359" s="3">
        <f t="shared" si="40"/>
        <v>8</v>
      </c>
      <c r="E359" t="s">
        <v>1174</v>
      </c>
      <c r="F359" t="s">
        <v>36</v>
      </c>
      <c r="G359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274</v>
      </c>
      <c r="M359" t="s">
        <v>1175</v>
      </c>
      <c r="N359" t="s">
        <v>31</v>
      </c>
      <c r="O359">
        <v>8</v>
      </c>
      <c r="P359">
        <v>546.13</v>
      </c>
      <c r="Q359" s="7">
        <v>0</v>
      </c>
      <c r="R359">
        <v>4369.04</v>
      </c>
      <c r="S359">
        <v>3716.88</v>
      </c>
      <c r="T359">
        <v>652.16</v>
      </c>
      <c r="U359" t="s">
        <v>32</v>
      </c>
      <c r="V359" t="s">
        <v>68</v>
      </c>
      <c r="W359" s="8">
        <f t="shared" si="41"/>
        <v>0</v>
      </c>
      <c r="X359">
        <f t="shared" si="42"/>
        <v>4369.04</v>
      </c>
      <c r="Y359">
        <f t="shared" si="43"/>
        <v>652.15999999999985</v>
      </c>
      <c r="Z359" s="8">
        <f t="shared" si="44"/>
        <v>0.14926848918755603</v>
      </c>
      <c r="AA359" t="str">
        <f t="shared" si="45"/>
        <v>January</v>
      </c>
      <c r="AB359">
        <f t="shared" si="46"/>
        <v>2025</v>
      </c>
      <c r="AC359" t="str">
        <f t="shared" si="47"/>
        <v>Clean</v>
      </c>
    </row>
    <row r="360" spans="1:29">
      <c r="A360" t="s">
        <v>1176</v>
      </c>
      <c r="B360" s="2">
        <v>45878</v>
      </c>
      <c r="C360" s="2">
        <v>45876</v>
      </c>
      <c r="D360" s="5">
        <f t="shared" si="40"/>
        <v>-2</v>
      </c>
      <c r="E360" t="s">
        <v>1177</v>
      </c>
      <c r="F360" t="s">
        <v>71</v>
      </c>
      <c r="G360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1178</v>
      </c>
      <c r="N360" t="s">
        <v>31</v>
      </c>
      <c r="O360">
        <v>5</v>
      </c>
      <c r="P360">
        <v>1253.92</v>
      </c>
      <c r="Q360" s="6">
        <v>0.05</v>
      </c>
      <c r="R360">
        <v>5956.12</v>
      </c>
      <c r="S360">
        <v>4379.18</v>
      </c>
      <c r="T360">
        <v>1576.94</v>
      </c>
      <c r="U360" t="s">
        <v>111</v>
      </c>
      <c r="V360" t="s">
        <v>103</v>
      </c>
      <c r="W360" s="8">
        <f t="shared" si="41"/>
        <v>0.05</v>
      </c>
      <c r="X360">
        <f t="shared" si="42"/>
        <v>5956.12</v>
      </c>
      <c r="Y360">
        <f t="shared" si="43"/>
        <v>1576.9399999999996</v>
      </c>
      <c r="Z360" s="8">
        <f t="shared" si="44"/>
        <v>0.26475960860425907</v>
      </c>
      <c r="AA360" t="str">
        <f t="shared" si="45"/>
        <v>August</v>
      </c>
      <c r="AB360">
        <f t="shared" si="46"/>
        <v>2025</v>
      </c>
      <c r="AC360" t="str">
        <f t="shared" si="47"/>
        <v>Warning</v>
      </c>
    </row>
    <row r="361" spans="1:29">
      <c r="A361" t="s">
        <v>1179</v>
      </c>
      <c r="B361" s="2">
        <v>45525</v>
      </c>
      <c r="C361" s="2">
        <v>45526</v>
      </c>
      <c r="D361" s="3">
        <f t="shared" si="40"/>
        <v>1</v>
      </c>
      <c r="E361" t="s">
        <v>1180</v>
      </c>
      <c r="F361" t="s">
        <v>47</v>
      </c>
      <c r="G361" t="s">
        <v>24</v>
      </c>
      <c r="H361" t="s">
        <v>54</v>
      </c>
      <c r="I361" t="s">
        <v>247</v>
      </c>
      <c r="J361" t="s">
        <v>248</v>
      </c>
      <c r="K361" t="s">
        <v>74</v>
      </c>
      <c r="L361" t="s">
        <v>171</v>
      </c>
      <c r="M361" t="s">
        <v>1181</v>
      </c>
      <c r="N361" t="s">
        <v>44</v>
      </c>
      <c r="O361">
        <v>9</v>
      </c>
      <c r="P361">
        <v>616.96</v>
      </c>
      <c r="Q361" s="6">
        <v>0.1</v>
      </c>
      <c r="R361">
        <v>4997.38</v>
      </c>
      <c r="S361">
        <v>2971.39</v>
      </c>
      <c r="T361">
        <v>2025.99</v>
      </c>
      <c r="U361" t="s">
        <v>32</v>
      </c>
      <c r="V361" t="s">
        <v>33</v>
      </c>
      <c r="W361" s="8">
        <f t="shared" si="41"/>
        <v>0.1</v>
      </c>
      <c r="X361">
        <f t="shared" si="42"/>
        <v>4997.3760000000002</v>
      </c>
      <c r="Y361">
        <f t="shared" si="43"/>
        <v>2025.9860000000003</v>
      </c>
      <c r="Z361" s="8">
        <f t="shared" si="44"/>
        <v>0.40540995914656014</v>
      </c>
      <c r="AA361" t="str">
        <f t="shared" si="45"/>
        <v>August</v>
      </c>
      <c r="AB361">
        <f t="shared" si="46"/>
        <v>2024</v>
      </c>
      <c r="AC361" t="str">
        <f t="shared" si="47"/>
        <v>Clean</v>
      </c>
    </row>
    <row r="362" spans="1:29">
      <c r="A362" t="s">
        <v>1182</v>
      </c>
      <c r="B362" s="2">
        <v>45460</v>
      </c>
      <c r="C362" s="2">
        <v>45463</v>
      </c>
      <c r="D362" s="3">
        <f t="shared" si="40"/>
        <v>3</v>
      </c>
      <c r="E362" t="s">
        <v>1183</v>
      </c>
      <c r="F362" t="s">
        <v>132</v>
      </c>
      <c r="G362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1184</v>
      </c>
      <c r="N362" t="s">
        <v>59</v>
      </c>
      <c r="O362">
        <v>7</v>
      </c>
      <c r="P362">
        <v>3155.25</v>
      </c>
      <c r="Q362" s="6">
        <v>0.2</v>
      </c>
      <c r="R362">
        <v>17669.400000000001</v>
      </c>
      <c r="S362">
        <v>13718.77</v>
      </c>
      <c r="T362">
        <v>3950.63</v>
      </c>
      <c r="U362" t="s">
        <v>102</v>
      </c>
      <c r="V362" t="s">
        <v>68</v>
      </c>
      <c r="W362" s="8">
        <f t="shared" si="41"/>
        <v>0.2</v>
      </c>
      <c r="X362">
        <f t="shared" si="42"/>
        <v>17669.400000000001</v>
      </c>
      <c r="Y362">
        <f t="shared" si="43"/>
        <v>3950.630000000001</v>
      </c>
      <c r="Z362" s="8">
        <f t="shared" si="44"/>
        <v>0.2235859734908939</v>
      </c>
      <c r="AA362" t="str">
        <f t="shared" si="45"/>
        <v>June</v>
      </c>
      <c r="AB362">
        <f t="shared" si="46"/>
        <v>2024</v>
      </c>
      <c r="AC362" t="str">
        <f t="shared" si="47"/>
        <v>Clean</v>
      </c>
    </row>
    <row r="363" spans="1:29">
      <c r="A363" t="s">
        <v>1185</v>
      </c>
      <c r="B363" s="2">
        <v>45661</v>
      </c>
      <c r="C363" s="2">
        <v>45749</v>
      </c>
      <c r="D363" s="3">
        <f t="shared" si="40"/>
        <v>88</v>
      </c>
      <c r="E363" t="s">
        <v>1186</v>
      </c>
      <c r="F363" t="s">
        <v>141</v>
      </c>
      <c r="G363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1187</v>
      </c>
      <c r="N363" t="s">
        <v>31</v>
      </c>
      <c r="O363">
        <v>9</v>
      </c>
      <c r="P363">
        <v>4165.58</v>
      </c>
      <c r="Q363" s="6">
        <v>0.05</v>
      </c>
      <c r="R363">
        <v>35615.71</v>
      </c>
      <c r="S363">
        <v>20389.71</v>
      </c>
      <c r="T363">
        <v>15226</v>
      </c>
      <c r="U363" t="s">
        <v>111</v>
      </c>
      <c r="V363" t="s">
        <v>103</v>
      </c>
      <c r="W363" s="8">
        <f t="shared" si="41"/>
        <v>0.05</v>
      </c>
      <c r="X363">
        <f t="shared" si="42"/>
        <v>35615.709000000003</v>
      </c>
      <c r="Y363">
        <f t="shared" si="43"/>
        <v>15225.999000000003</v>
      </c>
      <c r="Z363" s="8">
        <f t="shared" si="44"/>
        <v>0.42750795723314122</v>
      </c>
      <c r="AA363" t="str">
        <f t="shared" si="45"/>
        <v>January</v>
      </c>
      <c r="AB363">
        <f t="shared" si="46"/>
        <v>2025</v>
      </c>
      <c r="AC363" t="str">
        <f t="shared" si="47"/>
        <v>Clean</v>
      </c>
    </row>
    <row r="364" spans="1:29">
      <c r="A364" t="s">
        <v>1188</v>
      </c>
      <c r="B364" s="2">
        <v>45527</v>
      </c>
      <c r="C364" s="2">
        <v>45529</v>
      </c>
      <c r="D364" s="3">
        <f t="shared" si="40"/>
        <v>2</v>
      </c>
      <c r="E364" t="s">
        <v>1189</v>
      </c>
      <c r="F364" t="s">
        <v>71</v>
      </c>
      <c r="G364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274</v>
      </c>
      <c r="M364" t="s">
        <v>1190</v>
      </c>
      <c r="N364" t="s">
        <v>44</v>
      </c>
      <c r="O364">
        <v>4</v>
      </c>
      <c r="P364">
        <v>491.16</v>
      </c>
      <c r="Q364" s="6">
        <v>0.05</v>
      </c>
      <c r="R364">
        <v>1866.41</v>
      </c>
      <c r="S364">
        <v>1576.49</v>
      </c>
      <c r="T364">
        <v>289.92</v>
      </c>
      <c r="U364" t="s">
        <v>32</v>
      </c>
      <c r="V364" t="s">
        <v>33</v>
      </c>
      <c r="W364" s="8">
        <f t="shared" si="41"/>
        <v>0.05</v>
      </c>
      <c r="X364">
        <f t="shared" si="42"/>
        <v>1866.4079999999999</v>
      </c>
      <c r="Y364">
        <f t="shared" si="43"/>
        <v>289.91799999999989</v>
      </c>
      <c r="Z364" s="8">
        <f t="shared" si="44"/>
        <v>0.15533473924243782</v>
      </c>
      <c r="AA364" t="str">
        <f t="shared" si="45"/>
        <v>August</v>
      </c>
      <c r="AB364">
        <f t="shared" si="46"/>
        <v>2024</v>
      </c>
      <c r="AC364" t="str">
        <f t="shared" si="47"/>
        <v>Clean</v>
      </c>
    </row>
    <row r="365" spans="1:29">
      <c r="A365" t="s">
        <v>1191</v>
      </c>
      <c r="B365" s="2">
        <v>45845</v>
      </c>
      <c r="C365" s="2">
        <v>45850</v>
      </c>
      <c r="D365" s="3">
        <f t="shared" si="40"/>
        <v>5</v>
      </c>
      <c r="E365" t="s">
        <v>1192</v>
      </c>
      <c r="F365" t="s">
        <v>162</v>
      </c>
      <c r="G36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1193</v>
      </c>
      <c r="N365" t="s">
        <v>31</v>
      </c>
      <c r="O365">
        <v>5</v>
      </c>
      <c r="P365">
        <v>1831.37</v>
      </c>
      <c r="Q365" s="6">
        <v>0.25</v>
      </c>
      <c r="R365">
        <v>6867.64</v>
      </c>
      <c r="S365">
        <v>5205.3599999999997</v>
      </c>
      <c r="T365">
        <v>1662.28</v>
      </c>
      <c r="U365" t="s">
        <v>32</v>
      </c>
      <c r="V365" t="s">
        <v>33</v>
      </c>
      <c r="W365" s="8">
        <f t="shared" si="41"/>
        <v>0.25</v>
      </c>
      <c r="X365">
        <f t="shared" si="42"/>
        <v>6867.6374999999989</v>
      </c>
      <c r="Y365">
        <f t="shared" si="43"/>
        <v>1662.2774999999992</v>
      </c>
      <c r="Z365" s="8">
        <f t="shared" si="44"/>
        <v>0.24204502640100028</v>
      </c>
      <c r="AA365" t="str">
        <f t="shared" si="45"/>
        <v>July</v>
      </c>
      <c r="AB365">
        <f t="shared" si="46"/>
        <v>2025</v>
      </c>
      <c r="AC365" t="str">
        <f t="shared" si="47"/>
        <v>Clean</v>
      </c>
    </row>
    <row r="366" spans="1:29">
      <c r="A366" t="s">
        <v>1194</v>
      </c>
      <c r="B366" s="2">
        <v>45737</v>
      </c>
      <c r="C366" s="2">
        <v>45740</v>
      </c>
      <c r="D366" s="3">
        <f t="shared" si="40"/>
        <v>3</v>
      </c>
      <c r="E366" t="s">
        <v>1195</v>
      </c>
      <c r="F366" t="s">
        <v>128</v>
      </c>
      <c r="G366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1196</v>
      </c>
      <c r="N366" t="s">
        <v>31</v>
      </c>
      <c r="O366">
        <v>5</v>
      </c>
      <c r="P366">
        <v>1239.1500000000001</v>
      </c>
      <c r="Q366" s="7">
        <v>0</v>
      </c>
      <c r="R366">
        <v>6195.75</v>
      </c>
      <c r="S366">
        <v>3967.02</v>
      </c>
      <c r="T366">
        <v>2228.73</v>
      </c>
      <c r="U366" t="s">
        <v>32</v>
      </c>
      <c r="V366" t="s">
        <v>33</v>
      </c>
      <c r="W366" s="8">
        <f t="shared" si="41"/>
        <v>0</v>
      </c>
      <c r="X366">
        <f t="shared" si="42"/>
        <v>6195.75</v>
      </c>
      <c r="Y366">
        <f t="shared" si="43"/>
        <v>2228.73</v>
      </c>
      <c r="Z366" s="8">
        <f t="shared" si="44"/>
        <v>0.35971916232901585</v>
      </c>
      <c r="AA366" t="str">
        <f t="shared" si="45"/>
        <v>March</v>
      </c>
      <c r="AB366">
        <f t="shared" si="46"/>
        <v>2025</v>
      </c>
      <c r="AC366" t="str">
        <f t="shared" si="47"/>
        <v>Clean</v>
      </c>
    </row>
    <row r="367" spans="1:29">
      <c r="A367" t="s">
        <v>1197</v>
      </c>
      <c r="B367" s="2">
        <v>45458</v>
      </c>
      <c r="C367" s="2">
        <v>45464</v>
      </c>
      <c r="D367" s="3">
        <f t="shared" si="40"/>
        <v>6</v>
      </c>
      <c r="E367" t="s">
        <v>1198</v>
      </c>
      <c r="F367" t="s">
        <v>89</v>
      </c>
      <c r="G367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1199</v>
      </c>
      <c r="N367" t="s">
        <v>50</v>
      </c>
      <c r="O367">
        <v>8</v>
      </c>
      <c r="P367">
        <v>1706.4</v>
      </c>
      <c r="Q367" s="7">
        <v>0</v>
      </c>
      <c r="R367">
        <v>12968.64</v>
      </c>
      <c r="S367">
        <v>10119.61</v>
      </c>
      <c r="T367">
        <v>2849.03</v>
      </c>
      <c r="U367" t="s">
        <v>32</v>
      </c>
      <c r="V367" t="s">
        <v>33</v>
      </c>
      <c r="W367" s="8">
        <f t="shared" si="41"/>
        <v>0</v>
      </c>
      <c r="X367">
        <f t="shared" si="42"/>
        <v>13651.2</v>
      </c>
      <c r="Y367">
        <f t="shared" si="43"/>
        <v>3531.59</v>
      </c>
      <c r="Z367" s="8">
        <f t="shared" si="44"/>
        <v>0.2587017991092358</v>
      </c>
      <c r="AA367" t="str">
        <f t="shared" si="45"/>
        <v>June</v>
      </c>
      <c r="AB367">
        <f t="shared" si="46"/>
        <v>2024</v>
      </c>
      <c r="AC367" t="str">
        <f t="shared" si="47"/>
        <v>Clean</v>
      </c>
    </row>
    <row r="368" spans="1:29">
      <c r="A368" t="s">
        <v>1200</v>
      </c>
      <c r="B368" s="2">
        <v>45673</v>
      </c>
      <c r="C368" s="2">
        <v>45679</v>
      </c>
      <c r="D368" s="3">
        <f t="shared" si="40"/>
        <v>6</v>
      </c>
      <c r="E368" t="s">
        <v>1201</v>
      </c>
      <c r="F368" t="s">
        <v>132</v>
      </c>
      <c r="G368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1202</v>
      </c>
      <c r="N368" t="s">
        <v>44</v>
      </c>
      <c r="O368">
        <v>2</v>
      </c>
      <c r="P368">
        <v>4418.28</v>
      </c>
      <c r="Q368" s="7">
        <v>0</v>
      </c>
      <c r="R368">
        <v>8836.56</v>
      </c>
      <c r="S368">
        <v>5867.75</v>
      </c>
      <c r="T368">
        <v>2968.81</v>
      </c>
      <c r="U368" t="s">
        <v>32</v>
      </c>
      <c r="V368" t="s">
        <v>33</v>
      </c>
      <c r="W368" s="8">
        <f t="shared" si="41"/>
        <v>0</v>
      </c>
      <c r="X368">
        <f t="shared" si="42"/>
        <v>8836.56</v>
      </c>
      <c r="Y368">
        <f t="shared" si="43"/>
        <v>2968.8099999999995</v>
      </c>
      <c r="Z368" s="8">
        <f t="shared" si="44"/>
        <v>0.33596897435201023</v>
      </c>
      <c r="AA368" t="str">
        <f t="shared" si="45"/>
        <v>January</v>
      </c>
      <c r="AB368">
        <f t="shared" si="46"/>
        <v>2025</v>
      </c>
      <c r="AC368" t="str">
        <f t="shared" si="47"/>
        <v>Clean</v>
      </c>
    </row>
    <row r="369" spans="1:29">
      <c r="A369" t="s">
        <v>1203</v>
      </c>
      <c r="B369" s="2">
        <v>45366</v>
      </c>
      <c r="C369" s="2">
        <v>45367</v>
      </c>
      <c r="D369" s="3">
        <f t="shared" si="40"/>
        <v>1</v>
      </c>
      <c r="E369" t="s">
        <v>1204</v>
      </c>
      <c r="F369" t="s">
        <v>141</v>
      </c>
      <c r="G369" t="s">
        <v>24</v>
      </c>
      <c r="H369" t="s">
        <v>25</v>
      </c>
      <c r="I369" t="s">
        <v>350</v>
      </c>
      <c r="J369" t="s">
        <v>351</v>
      </c>
      <c r="K369" t="s">
        <v>28</v>
      </c>
      <c r="L369" t="s">
        <v>48</v>
      </c>
      <c r="M369" t="s">
        <v>1205</v>
      </c>
      <c r="N369" t="s">
        <v>59</v>
      </c>
      <c r="O369">
        <v>6</v>
      </c>
      <c r="P369">
        <v>3815.09</v>
      </c>
      <c r="Q369" s="6">
        <v>0.15</v>
      </c>
      <c r="R369">
        <v>19456.96</v>
      </c>
      <c r="S369">
        <v>14520.06</v>
      </c>
      <c r="T369">
        <v>4936.8999999999996</v>
      </c>
      <c r="U369" t="s">
        <v>155</v>
      </c>
      <c r="V369" t="s">
        <v>68</v>
      </c>
      <c r="W369" s="8">
        <f t="shared" si="41"/>
        <v>0.15</v>
      </c>
      <c r="X369">
        <f t="shared" si="42"/>
        <v>19456.958999999999</v>
      </c>
      <c r="Y369">
        <f t="shared" si="43"/>
        <v>4936.8989999999994</v>
      </c>
      <c r="Z369" s="8">
        <f t="shared" si="44"/>
        <v>0.25373435797443988</v>
      </c>
      <c r="AA369" t="str">
        <f t="shared" si="45"/>
        <v>March</v>
      </c>
      <c r="AB369">
        <f t="shared" si="46"/>
        <v>2024</v>
      </c>
      <c r="AC369" t="str">
        <f t="shared" si="47"/>
        <v>Clean</v>
      </c>
    </row>
    <row r="370" spans="1:29">
      <c r="A370" t="s">
        <v>1206</v>
      </c>
      <c r="B370" s="2">
        <v>45815</v>
      </c>
      <c r="C370" s="2">
        <v>45815</v>
      </c>
      <c r="D370" s="3">
        <f t="shared" si="40"/>
        <v>0</v>
      </c>
      <c r="E370" t="s">
        <v>1207</v>
      </c>
      <c r="F370" t="s">
        <v>128</v>
      </c>
      <c r="G370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1208</v>
      </c>
      <c r="N370" t="s">
        <v>44</v>
      </c>
      <c r="O370">
        <v>9</v>
      </c>
      <c r="P370">
        <v>243.19</v>
      </c>
      <c r="Q370" s="6">
        <v>0.05</v>
      </c>
      <c r="R370">
        <v>2079.27</v>
      </c>
      <c r="S370">
        <v>1512.17</v>
      </c>
      <c r="T370">
        <v>567.1</v>
      </c>
      <c r="U370" t="s">
        <v>102</v>
      </c>
      <c r="V370" t="s">
        <v>103</v>
      </c>
      <c r="W370" s="8">
        <f t="shared" si="41"/>
        <v>0.05</v>
      </c>
      <c r="X370">
        <f t="shared" si="42"/>
        <v>2079.2745</v>
      </c>
      <c r="Y370">
        <f t="shared" si="43"/>
        <v>567.10449999999992</v>
      </c>
      <c r="Z370" s="8">
        <f t="shared" si="44"/>
        <v>0.27274152595051782</v>
      </c>
      <c r="AA370" t="str">
        <f t="shared" si="45"/>
        <v>June</v>
      </c>
      <c r="AB370">
        <f t="shared" si="46"/>
        <v>2025</v>
      </c>
      <c r="AC370" t="str">
        <f t="shared" si="47"/>
        <v>Clean</v>
      </c>
    </row>
    <row r="371" spans="1:29">
      <c r="A371" t="s">
        <v>1209</v>
      </c>
      <c r="B371" s="2">
        <v>45680</v>
      </c>
      <c r="C371" s="2">
        <v>45687</v>
      </c>
      <c r="D371" s="3">
        <f t="shared" si="40"/>
        <v>7</v>
      </c>
      <c r="E371" t="s">
        <v>1210</v>
      </c>
      <c r="F371" t="s">
        <v>114</v>
      </c>
      <c r="G371" t="s">
        <v>24</v>
      </c>
      <c r="H371" t="s">
        <v>25</v>
      </c>
      <c r="I371" t="s">
        <v>350</v>
      </c>
      <c r="J371" t="s">
        <v>351</v>
      </c>
      <c r="K371" t="s">
        <v>28</v>
      </c>
      <c r="L371" t="s">
        <v>91</v>
      </c>
      <c r="M371" t="s">
        <v>1211</v>
      </c>
      <c r="N371" t="s">
        <v>59</v>
      </c>
      <c r="O371">
        <v>9</v>
      </c>
      <c r="P371">
        <v>1169.3699999999999</v>
      </c>
      <c r="Q371" s="6">
        <v>0.15</v>
      </c>
      <c r="R371">
        <v>8945.68</v>
      </c>
      <c r="S371">
        <v>6740.35</v>
      </c>
      <c r="T371">
        <v>2205.33</v>
      </c>
      <c r="U371" t="s">
        <v>32</v>
      </c>
      <c r="V371" t="s">
        <v>33</v>
      </c>
      <c r="W371" s="8">
        <f t="shared" si="41"/>
        <v>0.15</v>
      </c>
      <c r="X371">
        <f t="shared" si="42"/>
        <v>8945.6804999999986</v>
      </c>
      <c r="Y371">
        <f t="shared" si="43"/>
        <v>2205.3304999999982</v>
      </c>
      <c r="Z371" s="8">
        <f t="shared" si="44"/>
        <v>0.24652462157574245</v>
      </c>
      <c r="AA371" t="str">
        <f t="shared" si="45"/>
        <v>January</v>
      </c>
      <c r="AB371">
        <f t="shared" si="46"/>
        <v>2025</v>
      </c>
      <c r="AC371" t="str">
        <f t="shared" si="47"/>
        <v>Clean</v>
      </c>
    </row>
    <row r="372" spans="1:29">
      <c r="A372" t="s">
        <v>1212</v>
      </c>
      <c r="B372" s="2">
        <v>45519</v>
      </c>
      <c r="C372" s="2">
        <v>45525</v>
      </c>
      <c r="D372" s="3">
        <f t="shared" si="40"/>
        <v>6</v>
      </c>
      <c r="E372" t="s">
        <v>1213</v>
      </c>
      <c r="F372" t="s">
        <v>62</v>
      </c>
      <c r="G372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1214</v>
      </c>
      <c r="N372" t="s">
        <v>50</v>
      </c>
      <c r="O372">
        <v>7</v>
      </c>
      <c r="P372">
        <v>2333.81</v>
      </c>
      <c r="Q372" s="6">
        <v>0.2</v>
      </c>
      <c r="R372">
        <v>13069.34</v>
      </c>
      <c r="S372">
        <v>8768.59</v>
      </c>
      <c r="T372">
        <v>4300.75</v>
      </c>
      <c r="U372" t="s">
        <v>32</v>
      </c>
      <c r="V372" t="s">
        <v>33</v>
      </c>
      <c r="W372" s="8">
        <f t="shared" si="41"/>
        <v>0.2</v>
      </c>
      <c r="X372">
        <f t="shared" si="42"/>
        <v>13069.336000000001</v>
      </c>
      <c r="Y372">
        <f t="shared" si="43"/>
        <v>4300.746000000001</v>
      </c>
      <c r="Z372" s="8">
        <f t="shared" si="44"/>
        <v>0.32907149988339124</v>
      </c>
      <c r="AA372" t="str">
        <f t="shared" si="45"/>
        <v>August</v>
      </c>
      <c r="AB372">
        <f t="shared" si="46"/>
        <v>2024</v>
      </c>
      <c r="AC372" t="str">
        <f t="shared" si="47"/>
        <v>Clean</v>
      </c>
    </row>
    <row r="373" spans="1:29">
      <c r="A373" t="s">
        <v>1215</v>
      </c>
      <c r="B373" s="2">
        <v>45313</v>
      </c>
      <c r="C373" s="2">
        <v>45315</v>
      </c>
      <c r="D373" s="3">
        <f t="shared" si="40"/>
        <v>2</v>
      </c>
      <c r="E373" t="s">
        <v>1216</v>
      </c>
      <c r="F373" t="s">
        <v>162</v>
      </c>
      <c r="G373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1217</v>
      </c>
      <c r="N373" t="s">
        <v>59</v>
      </c>
      <c r="O373">
        <v>6</v>
      </c>
      <c r="P373">
        <v>1026.06</v>
      </c>
      <c r="Q373" s="7">
        <v>0</v>
      </c>
      <c r="R373">
        <v>4617.2700000000004</v>
      </c>
      <c r="S373">
        <v>2981.94</v>
      </c>
      <c r="T373">
        <v>1635.33</v>
      </c>
      <c r="U373" t="s">
        <v>102</v>
      </c>
      <c r="V373" t="s">
        <v>68</v>
      </c>
      <c r="W373" s="8">
        <f t="shared" si="41"/>
        <v>0</v>
      </c>
      <c r="X373">
        <f t="shared" si="42"/>
        <v>6156.36</v>
      </c>
      <c r="Y373">
        <f t="shared" si="43"/>
        <v>3174.4199999999996</v>
      </c>
      <c r="Z373" s="8">
        <f t="shared" si="44"/>
        <v>0.51563261407714944</v>
      </c>
      <c r="AA373" t="str">
        <f t="shared" si="45"/>
        <v>January</v>
      </c>
      <c r="AB373">
        <f t="shared" si="46"/>
        <v>2024</v>
      </c>
      <c r="AC373" t="str">
        <f t="shared" si="47"/>
        <v>Clean</v>
      </c>
    </row>
    <row r="374" spans="1:29">
      <c r="A374" t="s">
        <v>1218</v>
      </c>
      <c r="B374" s="2">
        <v>45885</v>
      </c>
      <c r="C374" s="2">
        <v>45887</v>
      </c>
      <c r="D374" s="3">
        <f t="shared" si="40"/>
        <v>2</v>
      </c>
      <c r="E374" t="s">
        <v>640</v>
      </c>
      <c r="F374" t="s">
        <v>264</v>
      </c>
      <c r="G374" t="s">
        <v>24</v>
      </c>
      <c r="H374" t="s">
        <v>38</v>
      </c>
      <c r="I374" t="s">
        <v>228</v>
      </c>
      <c r="J374" t="s">
        <v>229</v>
      </c>
      <c r="K374" t="s">
        <v>41</v>
      </c>
      <c r="L374" t="s">
        <v>66</v>
      </c>
      <c r="M374" t="s">
        <v>1219</v>
      </c>
      <c r="N374" t="s">
        <v>44</v>
      </c>
      <c r="O374">
        <v>5</v>
      </c>
      <c r="P374">
        <v>1530.36</v>
      </c>
      <c r="Q374" s="7">
        <v>0</v>
      </c>
      <c r="R374">
        <v>7651.8</v>
      </c>
      <c r="S374">
        <v>5171.78</v>
      </c>
      <c r="T374">
        <v>2480.02</v>
      </c>
      <c r="U374" t="s">
        <v>32</v>
      </c>
      <c r="V374" t="s">
        <v>33</v>
      </c>
      <c r="W374" s="8">
        <f t="shared" si="41"/>
        <v>0</v>
      </c>
      <c r="X374">
        <f t="shared" si="42"/>
        <v>7651.7999999999993</v>
      </c>
      <c r="Y374">
        <f t="shared" si="43"/>
        <v>2480.0199999999995</v>
      </c>
      <c r="Z374" s="8">
        <f t="shared" si="44"/>
        <v>0.32410935988917638</v>
      </c>
      <c r="AA374" t="str">
        <f t="shared" si="45"/>
        <v>August</v>
      </c>
      <c r="AB374">
        <f t="shared" si="46"/>
        <v>2025</v>
      </c>
      <c r="AC374" t="str">
        <f t="shared" si="47"/>
        <v>Clean</v>
      </c>
    </row>
    <row r="375" spans="1:29">
      <c r="A375" s="4" t="s">
        <v>1220</v>
      </c>
      <c r="B375" s="2">
        <v>45760</v>
      </c>
      <c r="C375" s="2">
        <v>45760</v>
      </c>
      <c r="D375" s="3">
        <f t="shared" si="40"/>
        <v>0</v>
      </c>
      <c r="E375" t="s">
        <v>1221</v>
      </c>
      <c r="F375" t="s">
        <v>132</v>
      </c>
      <c r="G37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1222</v>
      </c>
      <c r="N375" t="s">
        <v>31</v>
      </c>
      <c r="O375">
        <v>9</v>
      </c>
      <c r="P375">
        <v>1118.68</v>
      </c>
      <c r="Q375" s="7">
        <v>0</v>
      </c>
      <c r="R375">
        <v>10068.120000000001</v>
      </c>
      <c r="S375">
        <v>8595.3700000000008</v>
      </c>
      <c r="T375">
        <v>1472.75</v>
      </c>
      <c r="U375" t="s">
        <v>32</v>
      </c>
      <c r="V375" t="s">
        <v>33</v>
      </c>
      <c r="W375" s="8">
        <f t="shared" si="41"/>
        <v>0</v>
      </c>
      <c r="X375">
        <f t="shared" si="42"/>
        <v>10068.120000000001</v>
      </c>
      <c r="Y375">
        <f t="shared" si="43"/>
        <v>1472.75</v>
      </c>
      <c r="Z375" s="8">
        <f t="shared" si="44"/>
        <v>0.14627855051389932</v>
      </c>
      <c r="AA375" t="str">
        <f t="shared" si="45"/>
        <v>April</v>
      </c>
      <c r="AB375">
        <f t="shared" si="46"/>
        <v>2025</v>
      </c>
      <c r="AC375" t="str">
        <f t="shared" si="47"/>
        <v>Clean</v>
      </c>
    </row>
    <row r="376" spans="1:29">
      <c r="A376" t="s">
        <v>1223</v>
      </c>
      <c r="B376" s="2">
        <v>45715</v>
      </c>
      <c r="C376" s="2">
        <v>45716</v>
      </c>
      <c r="D376" s="3">
        <f t="shared" si="40"/>
        <v>1</v>
      </c>
      <c r="E376" t="s">
        <v>1224</v>
      </c>
      <c r="F376" t="s">
        <v>89</v>
      </c>
      <c r="G376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1225</v>
      </c>
      <c r="N376" t="s">
        <v>59</v>
      </c>
      <c r="O376">
        <v>6</v>
      </c>
      <c r="P376">
        <v>2393.25</v>
      </c>
      <c r="Q376" s="7">
        <v>0</v>
      </c>
      <c r="R376">
        <v>14359.5</v>
      </c>
      <c r="S376">
        <v>8117.71</v>
      </c>
      <c r="T376">
        <v>6241.79</v>
      </c>
      <c r="U376" t="s">
        <v>32</v>
      </c>
      <c r="V376" t="s">
        <v>33</v>
      </c>
      <c r="W376" s="8">
        <f t="shared" si="41"/>
        <v>0</v>
      </c>
      <c r="X376">
        <f t="shared" si="42"/>
        <v>14359.5</v>
      </c>
      <c r="Y376">
        <f t="shared" si="43"/>
        <v>6241.79</v>
      </c>
      <c r="Z376" s="8">
        <f t="shared" si="44"/>
        <v>0.43468017688638183</v>
      </c>
      <c r="AA376" t="str">
        <f t="shared" si="45"/>
        <v>February</v>
      </c>
      <c r="AB376">
        <f t="shared" si="46"/>
        <v>2025</v>
      </c>
      <c r="AC376" t="str">
        <f t="shared" si="47"/>
        <v>Clean</v>
      </c>
    </row>
    <row r="377" spans="1:29">
      <c r="A377" t="s">
        <v>1226</v>
      </c>
      <c r="B377" s="2">
        <v>45657</v>
      </c>
      <c r="C377" s="2">
        <v>45661</v>
      </c>
      <c r="D377" s="3">
        <f t="shared" si="40"/>
        <v>4</v>
      </c>
      <c r="E377" t="s">
        <v>1227</v>
      </c>
      <c r="F377" t="s">
        <v>71</v>
      </c>
      <c r="G377" t="s">
        <v>24</v>
      </c>
      <c r="H377" t="s">
        <v>25</v>
      </c>
      <c r="I377" t="s">
        <v>350</v>
      </c>
      <c r="J377" t="s">
        <v>351</v>
      </c>
      <c r="K377" t="s">
        <v>41</v>
      </c>
      <c r="L377" t="s">
        <v>66</v>
      </c>
      <c r="M377" t="s">
        <v>1228</v>
      </c>
      <c r="N377" t="s">
        <v>44</v>
      </c>
      <c r="O377">
        <v>3</v>
      </c>
      <c r="P377">
        <v>1166.6099999999999</v>
      </c>
      <c r="Q377" s="6">
        <v>0.25</v>
      </c>
      <c r="R377">
        <v>2624.87</v>
      </c>
      <c r="S377">
        <v>2253.88</v>
      </c>
      <c r="T377">
        <v>370.99</v>
      </c>
      <c r="U377" t="s">
        <v>32</v>
      </c>
      <c r="V377" t="s">
        <v>33</v>
      </c>
      <c r="W377" s="8">
        <f t="shared" si="41"/>
        <v>0.25</v>
      </c>
      <c r="X377">
        <f t="shared" si="42"/>
        <v>2624.8724999999999</v>
      </c>
      <c r="Y377">
        <f t="shared" si="43"/>
        <v>370.99249999999984</v>
      </c>
      <c r="Z377" s="8">
        <f t="shared" si="44"/>
        <v>0.14133734114704613</v>
      </c>
      <c r="AA377" t="str">
        <f t="shared" si="45"/>
        <v>December</v>
      </c>
      <c r="AB377">
        <f t="shared" si="46"/>
        <v>2024</v>
      </c>
      <c r="AC377" t="str">
        <f t="shared" si="47"/>
        <v>Clean</v>
      </c>
    </row>
    <row r="378" spans="1:29">
      <c r="A378" t="s">
        <v>1229</v>
      </c>
      <c r="B378" s="2">
        <v>45655</v>
      </c>
      <c r="C378" s="2">
        <v>45657</v>
      </c>
      <c r="D378" s="3">
        <f t="shared" si="40"/>
        <v>2</v>
      </c>
      <c r="E378" t="s">
        <v>1230</v>
      </c>
      <c r="F378" t="s">
        <v>47</v>
      </c>
      <c r="G378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1231</v>
      </c>
      <c r="N378" t="s">
        <v>50</v>
      </c>
      <c r="O378">
        <v>6</v>
      </c>
      <c r="P378">
        <v>1844.78</v>
      </c>
      <c r="Q378" s="6">
        <v>0.2</v>
      </c>
      <c r="R378">
        <v>8854.94</v>
      </c>
      <c r="S378">
        <v>7433.95</v>
      </c>
      <c r="T378">
        <v>1420.99</v>
      </c>
      <c r="U378" t="s">
        <v>32</v>
      </c>
      <c r="V378" t="s">
        <v>33</v>
      </c>
      <c r="W378" s="8">
        <f t="shared" si="41"/>
        <v>0.2</v>
      </c>
      <c r="X378">
        <f t="shared" si="42"/>
        <v>8854.9440000000013</v>
      </c>
      <c r="Y378">
        <f t="shared" si="43"/>
        <v>1420.9940000000015</v>
      </c>
      <c r="Z378" s="8">
        <f t="shared" si="44"/>
        <v>0.1604746455765278</v>
      </c>
      <c r="AA378" t="str">
        <f t="shared" si="45"/>
        <v>December</v>
      </c>
      <c r="AB378">
        <f t="shared" si="46"/>
        <v>2024</v>
      </c>
      <c r="AC378" t="str">
        <f t="shared" si="47"/>
        <v>Clean</v>
      </c>
    </row>
    <row r="379" spans="1:29">
      <c r="A379" t="s">
        <v>1232</v>
      </c>
      <c r="B379" s="2">
        <v>45801</v>
      </c>
      <c r="C379" s="2">
        <v>45807</v>
      </c>
      <c r="D379" s="3">
        <f t="shared" si="40"/>
        <v>6</v>
      </c>
      <c r="E379" t="s">
        <v>1233</v>
      </c>
      <c r="F379" t="s">
        <v>264</v>
      </c>
      <c r="G379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124</v>
      </c>
      <c r="M379" t="s">
        <v>1234</v>
      </c>
      <c r="N379" t="s">
        <v>44</v>
      </c>
      <c r="O379">
        <v>1</v>
      </c>
      <c r="P379">
        <v>2564.7399999999998</v>
      </c>
      <c r="Q379" s="7">
        <v>0</v>
      </c>
      <c r="R379">
        <v>2564.7399999999998</v>
      </c>
      <c r="S379">
        <v>1754.58</v>
      </c>
      <c r="T379">
        <v>810.16</v>
      </c>
      <c r="U379" t="s">
        <v>32</v>
      </c>
      <c r="V379" t="s">
        <v>33</v>
      </c>
      <c r="W379" s="8">
        <f t="shared" si="41"/>
        <v>0</v>
      </c>
      <c r="X379">
        <f t="shared" si="42"/>
        <v>2564.7399999999998</v>
      </c>
      <c r="Y379">
        <f t="shared" si="43"/>
        <v>810.15999999999985</v>
      </c>
      <c r="Z379" s="8">
        <f t="shared" si="44"/>
        <v>0.31588387126960232</v>
      </c>
      <c r="AA379" t="str">
        <f t="shared" si="45"/>
        <v>May</v>
      </c>
      <c r="AB379">
        <f t="shared" si="46"/>
        <v>2025</v>
      </c>
      <c r="AC379" t="str">
        <f t="shared" si="47"/>
        <v>Clean</v>
      </c>
    </row>
    <row r="380" spans="1:29">
      <c r="A380" t="s">
        <v>1235</v>
      </c>
      <c r="B380" s="2">
        <v>45799</v>
      </c>
      <c r="C380" s="2">
        <v>45799</v>
      </c>
      <c r="D380" s="3">
        <f t="shared" si="40"/>
        <v>0</v>
      </c>
      <c r="E380" t="s">
        <v>1236</v>
      </c>
      <c r="F380" t="s">
        <v>36</v>
      </c>
      <c r="G380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1237</v>
      </c>
      <c r="N380" t="s">
        <v>59</v>
      </c>
      <c r="O380">
        <v>2</v>
      </c>
      <c r="P380">
        <v>3910.61</v>
      </c>
      <c r="Q380" s="7">
        <v>0</v>
      </c>
      <c r="R380">
        <v>7821.22</v>
      </c>
      <c r="S380">
        <v>4994.46</v>
      </c>
      <c r="T380">
        <v>2826.76</v>
      </c>
      <c r="U380" t="s">
        <v>32</v>
      </c>
      <c r="V380" t="s">
        <v>33</v>
      </c>
      <c r="W380" s="8">
        <f t="shared" si="41"/>
        <v>0</v>
      </c>
      <c r="X380">
        <f t="shared" si="42"/>
        <v>7821.22</v>
      </c>
      <c r="Y380">
        <f t="shared" si="43"/>
        <v>2826.76</v>
      </c>
      <c r="Z380" s="8">
        <f t="shared" si="44"/>
        <v>0.36142187535959863</v>
      </c>
      <c r="AA380" t="str">
        <f t="shared" si="45"/>
        <v>May</v>
      </c>
      <c r="AB380">
        <f t="shared" si="46"/>
        <v>2025</v>
      </c>
      <c r="AC380" t="str">
        <f t="shared" si="47"/>
        <v>Clean</v>
      </c>
    </row>
    <row r="381" spans="1:29">
      <c r="A381" t="s">
        <v>1238</v>
      </c>
      <c r="B381" s="2">
        <v>45554</v>
      </c>
      <c r="C381" s="2">
        <v>45558</v>
      </c>
      <c r="D381" s="3">
        <f t="shared" si="40"/>
        <v>4</v>
      </c>
      <c r="E381" t="s">
        <v>1239</v>
      </c>
      <c r="F381" t="s">
        <v>36</v>
      </c>
      <c r="G381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1240</v>
      </c>
      <c r="N381" t="s">
        <v>59</v>
      </c>
      <c r="O381">
        <v>7</v>
      </c>
      <c r="P381">
        <v>1136.68</v>
      </c>
      <c r="Q381" s="7">
        <v>0</v>
      </c>
      <c r="R381">
        <v>7956.76</v>
      </c>
      <c r="S381">
        <v>4799.54</v>
      </c>
      <c r="T381">
        <v>3157.22</v>
      </c>
      <c r="U381" t="s">
        <v>32</v>
      </c>
      <c r="V381" t="s">
        <v>33</v>
      </c>
      <c r="W381" s="8">
        <f t="shared" si="41"/>
        <v>0</v>
      </c>
      <c r="X381">
        <f t="shared" si="42"/>
        <v>7956.76</v>
      </c>
      <c r="Y381">
        <f t="shared" si="43"/>
        <v>3157.2200000000003</v>
      </c>
      <c r="Z381" s="8">
        <f t="shared" si="44"/>
        <v>0.39679718880549369</v>
      </c>
      <c r="AA381" t="str">
        <f t="shared" si="45"/>
        <v>September</v>
      </c>
      <c r="AB381">
        <f t="shared" si="46"/>
        <v>2024</v>
      </c>
      <c r="AC381" t="str">
        <f t="shared" si="47"/>
        <v>Clean</v>
      </c>
    </row>
    <row r="382" spans="1:29">
      <c r="A382" t="s">
        <v>1241</v>
      </c>
      <c r="B382" s="2">
        <v>45389</v>
      </c>
      <c r="C382" s="2">
        <v>45396</v>
      </c>
      <c r="D382" s="3">
        <f t="shared" si="40"/>
        <v>7</v>
      </c>
      <c r="E382" t="s">
        <v>1242</v>
      </c>
      <c r="F382" t="s">
        <v>71</v>
      </c>
      <c r="G382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1243</v>
      </c>
      <c r="N382" t="s">
        <v>44</v>
      </c>
      <c r="O382">
        <v>5</v>
      </c>
      <c r="P382">
        <v>2235.85</v>
      </c>
      <c r="Q382" s="6">
        <v>0.25</v>
      </c>
      <c r="R382">
        <v>8384.44</v>
      </c>
      <c r="S382">
        <v>4765.96</v>
      </c>
      <c r="T382">
        <v>3618.48</v>
      </c>
      <c r="U382" t="s">
        <v>32</v>
      </c>
      <c r="V382" t="s">
        <v>103</v>
      </c>
      <c r="W382" s="8">
        <f t="shared" si="41"/>
        <v>0.25</v>
      </c>
      <c r="X382">
        <f t="shared" si="42"/>
        <v>8384.4375</v>
      </c>
      <c r="Y382">
        <f t="shared" si="43"/>
        <v>3618.4775</v>
      </c>
      <c r="Z382" s="8">
        <f t="shared" si="44"/>
        <v>0.43157069272685256</v>
      </c>
      <c r="AA382" t="str">
        <f t="shared" si="45"/>
        <v>April</v>
      </c>
      <c r="AB382">
        <f t="shared" si="46"/>
        <v>2024</v>
      </c>
      <c r="AC382" t="str">
        <f t="shared" si="47"/>
        <v>Clean</v>
      </c>
    </row>
    <row r="383" spans="1:29">
      <c r="A383" t="s">
        <v>1244</v>
      </c>
      <c r="B383" s="2">
        <v>45919</v>
      </c>
      <c r="C383" s="2">
        <v>45923</v>
      </c>
      <c r="D383" s="3">
        <f t="shared" si="40"/>
        <v>4</v>
      </c>
      <c r="E383" t="s">
        <v>1245</v>
      </c>
      <c r="F383" t="s">
        <v>53</v>
      </c>
      <c r="G383" t="s">
        <v>95</v>
      </c>
      <c r="H383" t="s">
        <v>25</v>
      </c>
      <c r="I383" t="s">
        <v>350</v>
      </c>
      <c r="J383" t="s">
        <v>351</v>
      </c>
      <c r="K383" t="s">
        <v>28</v>
      </c>
      <c r="L383" t="s">
        <v>153</v>
      </c>
      <c r="M383" t="s">
        <v>1246</v>
      </c>
      <c r="N383" t="s">
        <v>59</v>
      </c>
      <c r="O383">
        <v>4</v>
      </c>
      <c r="P383">
        <v>4387.1499999999996</v>
      </c>
      <c r="Q383" s="6">
        <v>0.05</v>
      </c>
      <c r="R383">
        <v>16671.169999999998</v>
      </c>
      <c r="S383">
        <v>10833.19</v>
      </c>
      <c r="T383">
        <v>5837.98</v>
      </c>
      <c r="U383" t="s">
        <v>155</v>
      </c>
      <c r="V383" t="s">
        <v>68</v>
      </c>
      <c r="W383" s="8">
        <f t="shared" si="41"/>
        <v>0.05</v>
      </c>
      <c r="X383">
        <f t="shared" si="42"/>
        <v>16671.169999999998</v>
      </c>
      <c r="Y383">
        <f t="shared" si="43"/>
        <v>5837.9799999999977</v>
      </c>
      <c r="Z383" s="8">
        <f t="shared" si="44"/>
        <v>0.35018418023450054</v>
      </c>
      <c r="AA383" t="str">
        <f t="shared" si="45"/>
        <v>September</v>
      </c>
      <c r="AB383">
        <f t="shared" si="46"/>
        <v>2025</v>
      </c>
      <c r="AC383" t="str">
        <f t="shared" si="47"/>
        <v>Clean</v>
      </c>
    </row>
    <row r="384" spans="1:29">
      <c r="A384" t="s">
        <v>1247</v>
      </c>
      <c r="B384" s="2">
        <v>45720</v>
      </c>
      <c r="C384" s="2">
        <v>45724</v>
      </c>
      <c r="D384" s="3">
        <f t="shared" si="40"/>
        <v>4</v>
      </c>
      <c r="E384" t="s">
        <v>157</v>
      </c>
      <c r="F384" t="s">
        <v>53</v>
      </c>
      <c r="G384" t="s">
        <v>37</v>
      </c>
      <c r="H384" t="s">
        <v>38</v>
      </c>
      <c r="I384" t="s">
        <v>145</v>
      </c>
      <c r="J384" t="s">
        <v>146</v>
      </c>
      <c r="K384" t="s">
        <v>74</v>
      </c>
      <c r="L384" t="s">
        <v>171</v>
      </c>
      <c r="M384" t="s">
        <v>1248</v>
      </c>
      <c r="N384" t="s">
        <v>50</v>
      </c>
      <c r="O384">
        <v>3</v>
      </c>
      <c r="P384">
        <v>4361.8500000000004</v>
      </c>
      <c r="Q384" s="6">
        <v>0.2</v>
      </c>
      <c r="R384">
        <v>10468.44</v>
      </c>
      <c r="S384">
        <v>8399.8700000000008</v>
      </c>
      <c r="T384">
        <v>2068.5700000000002</v>
      </c>
      <c r="U384" t="s">
        <v>32</v>
      </c>
      <c r="V384" t="s">
        <v>33</v>
      </c>
      <c r="W384" s="8">
        <f t="shared" si="41"/>
        <v>0.2</v>
      </c>
      <c r="X384">
        <f t="shared" si="42"/>
        <v>10468.440000000002</v>
      </c>
      <c r="Y384">
        <f t="shared" si="43"/>
        <v>2068.5700000000015</v>
      </c>
      <c r="Z384" s="8">
        <f t="shared" si="44"/>
        <v>0.19760059760575607</v>
      </c>
      <c r="AA384" t="str">
        <f t="shared" si="45"/>
        <v>March</v>
      </c>
      <c r="AB384">
        <f t="shared" si="46"/>
        <v>2025</v>
      </c>
      <c r="AC384" t="str">
        <f t="shared" si="47"/>
        <v>Clean</v>
      </c>
    </row>
    <row r="385" spans="1:29">
      <c r="A385" t="s">
        <v>1249</v>
      </c>
      <c r="B385" s="2">
        <v>45836</v>
      </c>
      <c r="C385" s="2">
        <v>45843</v>
      </c>
      <c r="D385" s="3">
        <f t="shared" si="40"/>
        <v>7</v>
      </c>
      <c r="E385" t="s">
        <v>1250</v>
      </c>
      <c r="F385" t="s">
        <v>71</v>
      </c>
      <c r="G38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1251</v>
      </c>
      <c r="N385" t="s">
        <v>50</v>
      </c>
      <c r="O385">
        <v>2</v>
      </c>
      <c r="P385">
        <v>2242.75</v>
      </c>
      <c r="Q385" s="7">
        <v>0</v>
      </c>
      <c r="R385">
        <v>4485.5</v>
      </c>
      <c r="S385">
        <v>3131.86</v>
      </c>
      <c r="T385">
        <v>1353.64</v>
      </c>
      <c r="U385" t="s">
        <v>32</v>
      </c>
      <c r="V385" t="s">
        <v>68</v>
      </c>
      <c r="W385" s="8">
        <f t="shared" si="41"/>
        <v>0</v>
      </c>
      <c r="X385">
        <f t="shared" si="42"/>
        <v>4485.5</v>
      </c>
      <c r="Y385">
        <f t="shared" si="43"/>
        <v>1353.6399999999999</v>
      </c>
      <c r="Z385" s="8">
        <f t="shared" si="44"/>
        <v>0.30178129528480657</v>
      </c>
      <c r="AA385" t="str">
        <f t="shared" si="45"/>
        <v>June</v>
      </c>
      <c r="AB385">
        <f t="shared" si="46"/>
        <v>2025</v>
      </c>
      <c r="AC385" t="str">
        <f t="shared" si="47"/>
        <v>Clean</v>
      </c>
    </row>
    <row r="386" spans="1:29">
      <c r="A386" t="s">
        <v>1252</v>
      </c>
      <c r="B386" s="2">
        <v>45366</v>
      </c>
      <c r="C386" s="2">
        <v>45371</v>
      </c>
      <c r="D386" s="3">
        <f t="shared" ref="D386:D449" si="48">C386-B386</f>
        <v>5</v>
      </c>
      <c r="E386" t="s">
        <v>1253</v>
      </c>
      <c r="F386" t="s">
        <v>141</v>
      </c>
      <c r="G386" t="s">
        <v>24</v>
      </c>
      <c r="H386" t="s">
        <v>38</v>
      </c>
      <c r="I386" t="s">
        <v>228</v>
      </c>
      <c r="J386" t="s">
        <v>229</v>
      </c>
      <c r="K386" t="s">
        <v>74</v>
      </c>
      <c r="L386" t="s">
        <v>80</v>
      </c>
      <c r="M386" t="s">
        <v>1254</v>
      </c>
      <c r="N386" t="s">
        <v>59</v>
      </c>
      <c r="O386">
        <v>2</v>
      </c>
      <c r="P386">
        <v>1881.4</v>
      </c>
      <c r="Q386" s="6">
        <v>0.25</v>
      </c>
      <c r="R386">
        <v>2822.1</v>
      </c>
      <c r="S386">
        <v>1624.57</v>
      </c>
      <c r="T386">
        <v>1197.53</v>
      </c>
      <c r="U386" t="s">
        <v>32</v>
      </c>
      <c r="V386" t="s">
        <v>103</v>
      </c>
      <c r="W386" s="8">
        <f t="shared" si="41"/>
        <v>0.25</v>
      </c>
      <c r="X386">
        <f t="shared" si="42"/>
        <v>2822.1000000000004</v>
      </c>
      <c r="Y386">
        <f t="shared" si="43"/>
        <v>1197.5300000000004</v>
      </c>
      <c r="Z386" s="8">
        <f t="shared" si="44"/>
        <v>0.42434003047376079</v>
      </c>
      <c r="AA386" t="str">
        <f t="shared" si="45"/>
        <v>March</v>
      </c>
      <c r="AB386">
        <f t="shared" si="46"/>
        <v>2024</v>
      </c>
      <c r="AC386" t="str">
        <f t="shared" si="47"/>
        <v>Clean</v>
      </c>
    </row>
    <row r="387" spans="1:29">
      <c r="A387" t="s">
        <v>1255</v>
      </c>
      <c r="B387" s="2">
        <v>45832</v>
      </c>
      <c r="C387" s="2">
        <v>45838</v>
      </c>
      <c r="D387" s="3">
        <f t="shared" si="48"/>
        <v>6</v>
      </c>
      <c r="E387" t="s">
        <v>1256</v>
      </c>
      <c r="F387" t="s">
        <v>53</v>
      </c>
      <c r="G387" t="s">
        <v>24</v>
      </c>
      <c r="H387" t="s">
        <v>25</v>
      </c>
      <c r="I387" t="s">
        <v>236</v>
      </c>
      <c r="J387" t="s">
        <v>237</v>
      </c>
      <c r="K387" t="s">
        <v>28</v>
      </c>
      <c r="L387" t="s">
        <v>91</v>
      </c>
      <c r="M387" t="s">
        <v>1257</v>
      </c>
      <c r="N387" t="s">
        <v>59</v>
      </c>
      <c r="O387">
        <v>6</v>
      </c>
      <c r="P387">
        <v>365.76</v>
      </c>
      <c r="Q387" s="6">
        <v>0.1</v>
      </c>
      <c r="R387">
        <v>1975.1</v>
      </c>
      <c r="S387">
        <v>1115.3499999999999</v>
      </c>
      <c r="T387">
        <v>859.75</v>
      </c>
      <c r="U387" t="s">
        <v>32</v>
      </c>
      <c r="V387" t="s">
        <v>33</v>
      </c>
      <c r="W387" s="8">
        <f t="shared" ref="W387:W450" si="49">Q387</f>
        <v>0.1</v>
      </c>
      <c r="X387">
        <f t="shared" ref="X387:X450" si="50">O387*P387*(1-W387)</f>
        <v>1975.104</v>
      </c>
      <c r="Y387">
        <f t="shared" ref="Y387:Y450" si="51">X387-S387</f>
        <v>859.75400000000013</v>
      </c>
      <c r="Z387" s="8">
        <f t="shared" ref="Z387:Z450" si="52">IF(X387=0,0,Y387/X387)</f>
        <v>0.4352955591199249</v>
      </c>
      <c r="AA387" t="str">
        <f t="shared" ref="AA387:AA450" si="53">TEXT(B387,"mmmm")</f>
        <v>June</v>
      </c>
      <c r="AB387">
        <f t="shared" ref="AB387:AB450" si="54">YEAR(B387)</f>
        <v>2025</v>
      </c>
      <c r="AC387" t="str">
        <f t="shared" ref="AC387:AC450" si="55">IF(Q387&lt;0,"Invalid",IF(D387&lt;0,"Warning","Clean"))</f>
        <v>Clean</v>
      </c>
    </row>
    <row r="388" spans="1:29">
      <c r="A388" t="s">
        <v>1258</v>
      </c>
      <c r="B388" s="2">
        <v>45700</v>
      </c>
      <c r="C388" s="2">
        <v>45702</v>
      </c>
      <c r="D388" s="3">
        <f t="shared" si="48"/>
        <v>2</v>
      </c>
      <c r="E388" t="s">
        <v>1259</v>
      </c>
      <c r="F388" t="s">
        <v>132</v>
      </c>
      <c r="G388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1260</v>
      </c>
      <c r="N388" t="s">
        <v>31</v>
      </c>
      <c r="O388">
        <v>8</v>
      </c>
      <c r="P388">
        <v>2786.66</v>
      </c>
      <c r="Q388" s="6">
        <v>0.1</v>
      </c>
      <c r="R388">
        <v>20063.95</v>
      </c>
      <c r="S388">
        <v>14363.38</v>
      </c>
      <c r="T388">
        <v>5700.57</v>
      </c>
      <c r="U388" t="s">
        <v>32</v>
      </c>
      <c r="V388" t="s">
        <v>33</v>
      </c>
      <c r="W388" s="8">
        <f t="shared" si="49"/>
        <v>0.1</v>
      </c>
      <c r="X388">
        <f t="shared" si="50"/>
        <v>20063.952000000001</v>
      </c>
      <c r="Y388">
        <f t="shared" si="51"/>
        <v>5700.5720000000019</v>
      </c>
      <c r="Z388" s="8">
        <f t="shared" si="52"/>
        <v>0.2841200975759911</v>
      </c>
      <c r="AA388" t="str">
        <f t="shared" si="53"/>
        <v>February</v>
      </c>
      <c r="AB388">
        <f t="shared" si="54"/>
        <v>2025</v>
      </c>
      <c r="AC388" t="str">
        <f t="shared" si="55"/>
        <v>Clean</v>
      </c>
    </row>
    <row r="389" spans="1:29">
      <c r="A389" t="s">
        <v>1261</v>
      </c>
      <c r="B389" s="2">
        <v>45938</v>
      </c>
      <c r="C389" s="2">
        <v>45882</v>
      </c>
      <c r="D389" s="5">
        <f t="shared" si="48"/>
        <v>-56</v>
      </c>
      <c r="E389" t="s">
        <v>1262</v>
      </c>
      <c r="F389" t="s">
        <v>114</v>
      </c>
      <c r="G389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1263</v>
      </c>
      <c r="N389" t="s">
        <v>59</v>
      </c>
      <c r="O389">
        <v>5</v>
      </c>
      <c r="P389">
        <v>352.86</v>
      </c>
      <c r="Q389" s="7">
        <v>0</v>
      </c>
      <c r="R389">
        <v>1764.3</v>
      </c>
      <c r="S389">
        <v>1332.49</v>
      </c>
      <c r="T389">
        <v>431.81</v>
      </c>
      <c r="U389" t="s">
        <v>111</v>
      </c>
      <c r="V389" t="s">
        <v>68</v>
      </c>
      <c r="W389" s="8">
        <f t="shared" si="49"/>
        <v>0</v>
      </c>
      <c r="X389">
        <f t="shared" si="50"/>
        <v>1764.3000000000002</v>
      </c>
      <c r="Y389">
        <f t="shared" si="51"/>
        <v>431.81000000000017</v>
      </c>
      <c r="Z389" s="8">
        <f t="shared" si="52"/>
        <v>0.24474862551720236</v>
      </c>
      <c r="AA389" t="str">
        <f t="shared" si="53"/>
        <v>October</v>
      </c>
      <c r="AB389">
        <f t="shared" si="54"/>
        <v>2025</v>
      </c>
      <c r="AC389" t="str">
        <f t="shared" si="55"/>
        <v>Warning</v>
      </c>
    </row>
    <row r="390" spans="1:29">
      <c r="A390" t="s">
        <v>1264</v>
      </c>
      <c r="B390" s="2">
        <v>45425</v>
      </c>
      <c r="C390" s="2">
        <v>45430</v>
      </c>
      <c r="D390" s="3">
        <f t="shared" si="48"/>
        <v>5</v>
      </c>
      <c r="E390" t="s">
        <v>1265</v>
      </c>
      <c r="F390" t="s">
        <v>47</v>
      </c>
      <c r="G390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1266</v>
      </c>
      <c r="N390" t="s">
        <v>59</v>
      </c>
      <c r="O390">
        <v>3</v>
      </c>
      <c r="P390">
        <v>3128.59</v>
      </c>
      <c r="Q390" s="7">
        <v>0</v>
      </c>
      <c r="R390">
        <v>9385.77</v>
      </c>
      <c r="S390">
        <v>6872.44</v>
      </c>
      <c r="T390">
        <v>2783.66</v>
      </c>
      <c r="U390" t="s">
        <v>32</v>
      </c>
      <c r="V390" t="s">
        <v>33</v>
      </c>
      <c r="W390" s="8">
        <f t="shared" si="49"/>
        <v>0</v>
      </c>
      <c r="X390">
        <f t="shared" si="50"/>
        <v>9385.77</v>
      </c>
      <c r="Y390">
        <f t="shared" si="51"/>
        <v>2513.3300000000008</v>
      </c>
      <c r="Z390" s="8">
        <f t="shared" si="52"/>
        <v>0.26778090662779941</v>
      </c>
      <c r="AA390" t="str">
        <f t="shared" si="53"/>
        <v>May</v>
      </c>
      <c r="AB390">
        <f t="shared" si="54"/>
        <v>2024</v>
      </c>
      <c r="AC390" t="str">
        <f t="shared" si="55"/>
        <v>Clean</v>
      </c>
    </row>
    <row r="391" spans="1:29">
      <c r="A391" t="s">
        <v>1267</v>
      </c>
      <c r="B391" s="2">
        <v>45387</v>
      </c>
      <c r="C391" s="2">
        <v>45395</v>
      </c>
      <c r="D391" s="3">
        <f t="shared" si="48"/>
        <v>8</v>
      </c>
      <c r="E391" t="s">
        <v>1268</v>
      </c>
      <c r="F391" t="s">
        <v>162</v>
      </c>
      <c r="G391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274</v>
      </c>
      <c r="M391" t="s">
        <v>1269</v>
      </c>
      <c r="N391" t="s">
        <v>31</v>
      </c>
      <c r="O391">
        <v>5</v>
      </c>
      <c r="P391">
        <v>1937.54</v>
      </c>
      <c r="Q391" s="6">
        <v>0.2</v>
      </c>
      <c r="R391">
        <v>7750.16</v>
      </c>
      <c r="S391">
        <v>5434.3</v>
      </c>
      <c r="T391">
        <v>2315.86</v>
      </c>
      <c r="U391" t="s">
        <v>111</v>
      </c>
      <c r="V391" t="s">
        <v>68</v>
      </c>
      <c r="W391" s="8">
        <f t="shared" si="49"/>
        <v>0.2</v>
      </c>
      <c r="X391">
        <f t="shared" si="50"/>
        <v>7750.1600000000008</v>
      </c>
      <c r="Y391">
        <f t="shared" si="51"/>
        <v>2315.8600000000006</v>
      </c>
      <c r="Z391" s="8">
        <f t="shared" si="52"/>
        <v>0.29881447608823564</v>
      </c>
      <c r="AA391" t="str">
        <f t="shared" si="53"/>
        <v>April</v>
      </c>
      <c r="AB391">
        <f t="shared" si="54"/>
        <v>2024</v>
      </c>
      <c r="AC391" t="str">
        <f t="shared" si="55"/>
        <v>Clean</v>
      </c>
    </row>
    <row r="392" spans="1:29">
      <c r="A392" t="s">
        <v>1270</v>
      </c>
      <c r="B392" s="2">
        <v>45602</v>
      </c>
      <c r="C392" s="2">
        <v>45607</v>
      </c>
      <c r="D392" s="3">
        <f t="shared" si="48"/>
        <v>5</v>
      </c>
      <c r="E392" t="s">
        <v>1271</v>
      </c>
      <c r="F392" t="s">
        <v>47</v>
      </c>
      <c r="G392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1272</v>
      </c>
      <c r="N392" t="s">
        <v>59</v>
      </c>
      <c r="O392">
        <v>4</v>
      </c>
      <c r="P392">
        <v>1917.26</v>
      </c>
      <c r="Q392" s="6">
        <v>0.2</v>
      </c>
      <c r="R392">
        <v>6135.23</v>
      </c>
      <c r="S392">
        <v>3439.79</v>
      </c>
      <c r="T392">
        <v>2695.44</v>
      </c>
      <c r="U392" t="s">
        <v>32</v>
      </c>
      <c r="V392" t="s">
        <v>33</v>
      </c>
      <c r="W392" s="8">
        <f t="shared" si="49"/>
        <v>0.2</v>
      </c>
      <c r="X392">
        <f t="shared" si="50"/>
        <v>6135.232</v>
      </c>
      <c r="Y392">
        <f t="shared" si="51"/>
        <v>2695.442</v>
      </c>
      <c r="Z392" s="8">
        <f t="shared" si="52"/>
        <v>0.43933823529411764</v>
      </c>
      <c r="AA392" t="str">
        <f t="shared" si="53"/>
        <v>November</v>
      </c>
      <c r="AB392">
        <f t="shared" si="54"/>
        <v>2024</v>
      </c>
      <c r="AC392" t="str">
        <f t="shared" si="55"/>
        <v>Clean</v>
      </c>
    </row>
    <row r="393" spans="1:29">
      <c r="A393" t="s">
        <v>1273</v>
      </c>
      <c r="B393" s="2">
        <v>45702</v>
      </c>
      <c r="C393" s="2">
        <v>45702</v>
      </c>
      <c r="D393" s="3">
        <f t="shared" si="48"/>
        <v>0</v>
      </c>
      <c r="E393" t="s">
        <v>1274</v>
      </c>
      <c r="F393" t="s">
        <v>162</v>
      </c>
      <c r="G393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1275</v>
      </c>
      <c r="N393" t="s">
        <v>50</v>
      </c>
      <c r="O393">
        <v>1</v>
      </c>
      <c r="P393">
        <v>714.43</v>
      </c>
      <c r="Q393" s="7">
        <v>0</v>
      </c>
      <c r="R393">
        <v>714.43</v>
      </c>
      <c r="S393">
        <v>565.44000000000005</v>
      </c>
      <c r="T393">
        <v>148.99</v>
      </c>
      <c r="U393" t="s">
        <v>32</v>
      </c>
      <c r="V393" t="s">
        <v>33</v>
      </c>
      <c r="W393" s="8">
        <f t="shared" si="49"/>
        <v>0</v>
      </c>
      <c r="X393">
        <f t="shared" si="50"/>
        <v>714.43</v>
      </c>
      <c r="Y393">
        <f t="shared" si="51"/>
        <v>148.9899999999999</v>
      </c>
      <c r="Z393" s="8">
        <f t="shared" si="52"/>
        <v>0.20854387413742412</v>
      </c>
      <c r="AA393" t="str">
        <f t="shared" si="53"/>
        <v>February</v>
      </c>
      <c r="AB393">
        <f t="shared" si="54"/>
        <v>2025</v>
      </c>
      <c r="AC393" t="str">
        <f t="shared" si="55"/>
        <v>Clean</v>
      </c>
    </row>
    <row r="394" spans="1:29">
      <c r="A394" t="s">
        <v>1276</v>
      </c>
      <c r="B394" s="2">
        <v>45341</v>
      </c>
      <c r="C394" s="2">
        <v>45344</v>
      </c>
      <c r="D394" s="3">
        <f t="shared" si="48"/>
        <v>3</v>
      </c>
      <c r="E394" t="s">
        <v>1277</v>
      </c>
      <c r="F394" t="s">
        <v>89</v>
      </c>
      <c r="G394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1278</v>
      </c>
      <c r="N394" t="s">
        <v>44</v>
      </c>
      <c r="O394">
        <v>9</v>
      </c>
      <c r="P394">
        <v>4053.01</v>
      </c>
      <c r="Q394" s="7">
        <v>0</v>
      </c>
      <c r="R394">
        <v>36477.089999999997</v>
      </c>
      <c r="S394">
        <v>24525.48</v>
      </c>
      <c r="T394">
        <v>11951.61</v>
      </c>
      <c r="U394" t="s">
        <v>32</v>
      </c>
      <c r="V394" t="s">
        <v>33</v>
      </c>
      <c r="W394" s="8">
        <f t="shared" si="49"/>
        <v>0</v>
      </c>
      <c r="X394">
        <f t="shared" si="50"/>
        <v>36477.090000000004</v>
      </c>
      <c r="Y394">
        <f t="shared" si="51"/>
        <v>11951.610000000004</v>
      </c>
      <c r="Z394" s="8">
        <f t="shared" si="52"/>
        <v>0.32764702447481425</v>
      </c>
      <c r="AA394" t="str">
        <f t="shared" si="53"/>
        <v>February</v>
      </c>
      <c r="AB394">
        <f t="shared" si="54"/>
        <v>2024</v>
      </c>
      <c r="AC394" t="str">
        <f t="shared" si="55"/>
        <v>Clean</v>
      </c>
    </row>
    <row r="395" spans="1:29">
      <c r="A395" t="s">
        <v>1279</v>
      </c>
      <c r="B395" s="2">
        <v>45527</v>
      </c>
      <c r="C395" s="2">
        <v>45533</v>
      </c>
      <c r="D395" s="3">
        <f t="shared" si="48"/>
        <v>6</v>
      </c>
      <c r="E395" t="s">
        <v>1280</v>
      </c>
      <c r="F395" t="s">
        <v>36</v>
      </c>
      <c r="G39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1281</v>
      </c>
      <c r="N395" t="s">
        <v>44</v>
      </c>
      <c r="O395">
        <v>2</v>
      </c>
      <c r="P395">
        <v>1936.91</v>
      </c>
      <c r="Q395" s="6">
        <v>0.05</v>
      </c>
      <c r="R395">
        <v>3680.13</v>
      </c>
      <c r="S395">
        <v>2967.46</v>
      </c>
      <c r="T395">
        <v>712.67</v>
      </c>
      <c r="U395" t="s">
        <v>32</v>
      </c>
      <c r="V395" t="s">
        <v>33</v>
      </c>
      <c r="W395" s="8">
        <f t="shared" si="49"/>
        <v>0.05</v>
      </c>
      <c r="X395">
        <f t="shared" si="50"/>
        <v>3680.1289999999999</v>
      </c>
      <c r="Y395">
        <f t="shared" si="51"/>
        <v>712.66899999999987</v>
      </c>
      <c r="Z395" s="8">
        <f t="shared" si="52"/>
        <v>0.19365326595888346</v>
      </c>
      <c r="AA395" t="str">
        <f t="shared" si="53"/>
        <v>August</v>
      </c>
      <c r="AB395">
        <f t="shared" si="54"/>
        <v>2024</v>
      </c>
      <c r="AC395" t="str">
        <f t="shared" si="55"/>
        <v>Clean</v>
      </c>
    </row>
    <row r="396" spans="1:29">
      <c r="A396" t="s">
        <v>1282</v>
      </c>
      <c r="B396" s="2">
        <v>45355</v>
      </c>
      <c r="C396" s="2">
        <v>45386</v>
      </c>
      <c r="D396" s="3">
        <f t="shared" si="48"/>
        <v>31</v>
      </c>
      <c r="E396" t="s">
        <v>1283</v>
      </c>
      <c r="F396" t="s">
        <v>264</v>
      </c>
      <c r="G396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1284</v>
      </c>
      <c r="N396" t="s">
        <v>50</v>
      </c>
      <c r="O396">
        <v>7</v>
      </c>
      <c r="P396">
        <v>3945.21</v>
      </c>
      <c r="Q396" s="7">
        <v>0</v>
      </c>
      <c r="R396">
        <v>27616.47</v>
      </c>
      <c r="S396">
        <v>21225.26</v>
      </c>
      <c r="T396">
        <v>6391.21</v>
      </c>
      <c r="U396" t="s">
        <v>32</v>
      </c>
      <c r="V396" t="s">
        <v>33</v>
      </c>
      <c r="W396" s="8">
        <f t="shared" si="49"/>
        <v>0</v>
      </c>
      <c r="X396">
        <f t="shared" si="50"/>
        <v>27616.47</v>
      </c>
      <c r="Y396">
        <f t="shared" si="51"/>
        <v>6391.2100000000028</v>
      </c>
      <c r="Z396" s="8">
        <f t="shared" si="52"/>
        <v>0.23142747787823725</v>
      </c>
      <c r="AA396" t="str">
        <f t="shared" si="53"/>
        <v>March</v>
      </c>
      <c r="AB396">
        <f t="shared" si="54"/>
        <v>2024</v>
      </c>
      <c r="AC396" t="str">
        <f t="shared" si="55"/>
        <v>Clean</v>
      </c>
    </row>
    <row r="397" spans="1:29">
      <c r="A397" t="s">
        <v>1285</v>
      </c>
      <c r="B397" s="2">
        <v>45449</v>
      </c>
      <c r="C397" s="2">
        <v>45450</v>
      </c>
      <c r="D397" s="3">
        <f t="shared" si="48"/>
        <v>1</v>
      </c>
      <c r="E397" t="s">
        <v>1286</v>
      </c>
      <c r="F397" t="s">
        <v>118</v>
      </c>
      <c r="G397" t="s">
        <v>95</v>
      </c>
      <c r="H397" t="s">
        <v>54</v>
      </c>
      <c r="I397" t="s">
        <v>247</v>
      </c>
      <c r="J397" t="s">
        <v>248</v>
      </c>
      <c r="K397" t="s">
        <v>41</v>
      </c>
      <c r="L397" t="s">
        <v>42</v>
      </c>
      <c r="M397" t="s">
        <v>1287</v>
      </c>
      <c r="N397" t="s">
        <v>44</v>
      </c>
      <c r="O397">
        <v>7</v>
      </c>
      <c r="P397">
        <v>861.91</v>
      </c>
      <c r="Q397" s="6">
        <v>0.05</v>
      </c>
      <c r="R397">
        <v>5731.7</v>
      </c>
      <c r="S397">
        <v>4115.5600000000004</v>
      </c>
      <c r="T397">
        <v>1616.14</v>
      </c>
      <c r="U397" t="s">
        <v>32</v>
      </c>
      <c r="V397" t="s">
        <v>33</v>
      </c>
      <c r="W397" s="8">
        <f t="shared" si="49"/>
        <v>0.05</v>
      </c>
      <c r="X397">
        <f t="shared" si="50"/>
        <v>5731.7014999999992</v>
      </c>
      <c r="Y397">
        <f t="shared" si="51"/>
        <v>1616.1414999999988</v>
      </c>
      <c r="Z397" s="8">
        <f t="shared" si="52"/>
        <v>0.28196539893084088</v>
      </c>
      <c r="AA397" t="str">
        <f t="shared" si="53"/>
        <v>June</v>
      </c>
      <c r="AB397">
        <f t="shared" si="54"/>
        <v>2024</v>
      </c>
      <c r="AC397" t="str">
        <f t="shared" si="55"/>
        <v>Clean</v>
      </c>
    </row>
    <row r="398" spans="1:29">
      <c r="A398" t="s">
        <v>1288</v>
      </c>
      <c r="B398" s="2">
        <v>45761</v>
      </c>
      <c r="C398" s="2">
        <v>45769</v>
      </c>
      <c r="D398" s="3">
        <f t="shared" si="48"/>
        <v>8</v>
      </c>
      <c r="E398" t="s">
        <v>1289</v>
      </c>
      <c r="F398" t="s">
        <v>89</v>
      </c>
      <c r="G398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274</v>
      </c>
      <c r="M398" t="s">
        <v>1290</v>
      </c>
      <c r="N398" t="s">
        <v>59</v>
      </c>
      <c r="O398">
        <v>2</v>
      </c>
      <c r="P398">
        <v>638.73</v>
      </c>
      <c r="Q398" s="6">
        <v>0.05</v>
      </c>
      <c r="R398">
        <v>1213.5899999999999</v>
      </c>
      <c r="S398">
        <v>956.22</v>
      </c>
      <c r="T398">
        <v>257.37</v>
      </c>
      <c r="U398" t="s">
        <v>32</v>
      </c>
      <c r="V398" t="s">
        <v>33</v>
      </c>
      <c r="W398" s="8">
        <f t="shared" si="49"/>
        <v>0.05</v>
      </c>
      <c r="X398">
        <f t="shared" si="50"/>
        <v>1213.587</v>
      </c>
      <c r="Y398">
        <f t="shared" si="51"/>
        <v>257.36699999999996</v>
      </c>
      <c r="Z398" s="8">
        <f t="shared" si="52"/>
        <v>0.21207132245154239</v>
      </c>
      <c r="AA398" t="str">
        <f t="shared" si="53"/>
        <v>April</v>
      </c>
      <c r="AB398">
        <f t="shared" si="54"/>
        <v>2025</v>
      </c>
      <c r="AC398" t="str">
        <f t="shared" si="55"/>
        <v>Clean</v>
      </c>
    </row>
    <row r="399" spans="1:29">
      <c r="A399" t="s">
        <v>1291</v>
      </c>
      <c r="B399" s="2">
        <v>45817</v>
      </c>
      <c r="C399" s="2">
        <v>45818</v>
      </c>
      <c r="D399" s="3">
        <f t="shared" si="48"/>
        <v>1</v>
      </c>
      <c r="E399" t="s">
        <v>1292</v>
      </c>
      <c r="F399" t="s">
        <v>132</v>
      </c>
      <c r="G399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1293</v>
      </c>
      <c r="N399" t="s">
        <v>31</v>
      </c>
      <c r="O399">
        <v>2</v>
      </c>
      <c r="P399">
        <v>1731.88</v>
      </c>
      <c r="Q399" s="7">
        <v>0</v>
      </c>
      <c r="R399">
        <v>3463.76</v>
      </c>
      <c r="S399">
        <v>2143.7399999999998</v>
      </c>
      <c r="T399">
        <v>1320.02</v>
      </c>
      <c r="U399" t="s">
        <v>32</v>
      </c>
      <c r="V399" t="s">
        <v>33</v>
      </c>
      <c r="W399" s="8">
        <f t="shared" si="49"/>
        <v>0</v>
      </c>
      <c r="X399">
        <f t="shared" si="50"/>
        <v>3463.76</v>
      </c>
      <c r="Y399">
        <f t="shared" si="51"/>
        <v>1320.0200000000004</v>
      </c>
      <c r="Z399" s="8">
        <f t="shared" si="52"/>
        <v>0.38109453310852959</v>
      </c>
      <c r="AA399" t="str">
        <f t="shared" si="53"/>
        <v>June</v>
      </c>
      <c r="AB399">
        <f t="shared" si="54"/>
        <v>2025</v>
      </c>
      <c r="AC399" t="str">
        <f t="shared" si="55"/>
        <v>Clean</v>
      </c>
    </row>
    <row r="400" spans="1:29">
      <c r="A400" t="s">
        <v>1294</v>
      </c>
      <c r="B400" s="2">
        <v>45492</v>
      </c>
      <c r="C400" s="2">
        <v>45499</v>
      </c>
      <c r="D400" s="3">
        <f t="shared" si="48"/>
        <v>7</v>
      </c>
      <c r="E400" t="s">
        <v>1295</v>
      </c>
      <c r="F400" t="s">
        <v>71</v>
      </c>
      <c r="G400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274</v>
      </c>
      <c r="M400" t="s">
        <v>1296</v>
      </c>
      <c r="N400" t="s">
        <v>44</v>
      </c>
      <c r="O400">
        <v>2</v>
      </c>
      <c r="P400">
        <v>1263.6500000000001</v>
      </c>
      <c r="Q400" s="6">
        <v>0.2</v>
      </c>
      <c r="R400">
        <v>2021.84</v>
      </c>
      <c r="S400">
        <v>1355.22</v>
      </c>
      <c r="T400">
        <v>666.62</v>
      </c>
      <c r="U400" t="s">
        <v>32</v>
      </c>
      <c r="V400" t="s">
        <v>33</v>
      </c>
      <c r="W400" s="8">
        <f t="shared" si="49"/>
        <v>0.2</v>
      </c>
      <c r="X400">
        <f t="shared" si="50"/>
        <v>2021.8400000000001</v>
      </c>
      <c r="Y400">
        <f t="shared" si="51"/>
        <v>666.62000000000012</v>
      </c>
      <c r="Z400" s="8">
        <f t="shared" si="52"/>
        <v>0.32970957147944452</v>
      </c>
      <c r="AA400" t="str">
        <f t="shared" si="53"/>
        <v>July</v>
      </c>
      <c r="AB400">
        <f t="shared" si="54"/>
        <v>2024</v>
      </c>
      <c r="AC400" t="str">
        <f t="shared" si="55"/>
        <v>Clean</v>
      </c>
    </row>
    <row r="401" spans="1:29">
      <c r="A401" t="s">
        <v>1297</v>
      </c>
      <c r="B401" s="2">
        <v>45771</v>
      </c>
      <c r="C401" s="2">
        <v>45776</v>
      </c>
      <c r="D401" s="3">
        <f t="shared" si="48"/>
        <v>5</v>
      </c>
      <c r="E401" t="s">
        <v>1298</v>
      </c>
      <c r="F401" t="s">
        <v>162</v>
      </c>
      <c r="G401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1299</v>
      </c>
      <c r="N401" t="s">
        <v>44</v>
      </c>
      <c r="O401">
        <v>1</v>
      </c>
      <c r="P401">
        <v>4358.5</v>
      </c>
      <c r="Q401" s="6">
        <v>0.25</v>
      </c>
      <c r="R401">
        <v>3268.88</v>
      </c>
      <c r="S401">
        <v>1993.74</v>
      </c>
      <c r="T401">
        <v>1275.1400000000001</v>
      </c>
      <c r="U401" t="s">
        <v>32</v>
      </c>
      <c r="V401" t="s">
        <v>33</v>
      </c>
      <c r="W401" s="8">
        <f t="shared" si="49"/>
        <v>0.25</v>
      </c>
      <c r="X401">
        <f t="shared" si="50"/>
        <v>3268.875</v>
      </c>
      <c r="Y401">
        <f t="shared" si="51"/>
        <v>1275.135</v>
      </c>
      <c r="Z401" s="8">
        <f t="shared" si="52"/>
        <v>0.39008374440747962</v>
      </c>
      <c r="AA401" t="str">
        <f t="shared" si="53"/>
        <v>April</v>
      </c>
      <c r="AB401">
        <f t="shared" si="54"/>
        <v>2025</v>
      </c>
      <c r="AC401" t="str">
        <f t="shared" si="55"/>
        <v>Clean</v>
      </c>
    </row>
    <row r="402" spans="1:29">
      <c r="A402" t="s">
        <v>1300</v>
      </c>
      <c r="B402" s="2">
        <v>45814</v>
      </c>
      <c r="C402" s="2">
        <v>45819</v>
      </c>
      <c r="D402" s="3">
        <f t="shared" si="48"/>
        <v>5</v>
      </c>
      <c r="E402" t="s">
        <v>1301</v>
      </c>
      <c r="F402" t="s">
        <v>132</v>
      </c>
      <c r="G402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1302</v>
      </c>
      <c r="N402" t="s">
        <v>44</v>
      </c>
      <c r="O402">
        <v>7</v>
      </c>
      <c r="P402">
        <v>878.09</v>
      </c>
      <c r="Q402" s="7">
        <v>-0.1</v>
      </c>
      <c r="R402">
        <v>5839.3</v>
      </c>
      <c r="S402">
        <v>4877.38</v>
      </c>
      <c r="T402">
        <v>961.92</v>
      </c>
      <c r="U402" t="s">
        <v>32</v>
      </c>
      <c r="V402" t="s">
        <v>33</v>
      </c>
      <c r="W402" s="8">
        <f t="shared" si="49"/>
        <v>-0.1</v>
      </c>
      <c r="X402">
        <f t="shared" si="50"/>
        <v>6761.2930000000006</v>
      </c>
      <c r="Y402">
        <f t="shared" si="51"/>
        <v>1883.9130000000005</v>
      </c>
      <c r="Z402" s="8">
        <f t="shared" si="52"/>
        <v>0.27863206046535777</v>
      </c>
      <c r="AA402" t="str">
        <f t="shared" si="53"/>
        <v>June</v>
      </c>
      <c r="AB402">
        <f t="shared" si="54"/>
        <v>2025</v>
      </c>
      <c r="AC402" t="str">
        <f t="shared" si="55"/>
        <v>Invalid</v>
      </c>
    </row>
    <row r="403" spans="1:29">
      <c r="A403" t="s">
        <v>1303</v>
      </c>
      <c r="B403" s="2">
        <v>45725</v>
      </c>
      <c r="C403" s="2">
        <v>45732</v>
      </c>
      <c r="D403" s="3">
        <f t="shared" si="48"/>
        <v>7</v>
      </c>
      <c r="E403" t="s">
        <v>1304</v>
      </c>
      <c r="F403" t="s">
        <v>53</v>
      </c>
      <c r="G403" t="s">
        <v>37</v>
      </c>
      <c r="H403" t="s">
        <v>38</v>
      </c>
      <c r="I403" t="s">
        <v>228</v>
      </c>
      <c r="J403" t="s">
        <v>229</v>
      </c>
      <c r="K403" t="s">
        <v>41</v>
      </c>
      <c r="L403" t="s">
        <v>42</v>
      </c>
      <c r="M403" t="s">
        <v>1305</v>
      </c>
      <c r="N403" t="s">
        <v>44</v>
      </c>
      <c r="O403">
        <v>3</v>
      </c>
      <c r="P403">
        <v>2625.85</v>
      </c>
      <c r="Q403" s="7">
        <v>0</v>
      </c>
      <c r="R403">
        <v>7877.55</v>
      </c>
      <c r="S403">
        <v>5562.77</v>
      </c>
      <c r="T403">
        <v>2314.7800000000002</v>
      </c>
      <c r="U403" t="s">
        <v>32</v>
      </c>
      <c r="V403" t="s">
        <v>33</v>
      </c>
      <c r="W403" s="8">
        <f t="shared" si="49"/>
        <v>0</v>
      </c>
      <c r="X403">
        <f t="shared" si="50"/>
        <v>7877.5499999999993</v>
      </c>
      <c r="Y403">
        <f t="shared" si="51"/>
        <v>2314.7799999999988</v>
      </c>
      <c r="Z403" s="8">
        <f t="shared" si="52"/>
        <v>0.29384516759652418</v>
      </c>
      <c r="AA403" t="str">
        <f t="shared" si="53"/>
        <v>March</v>
      </c>
      <c r="AB403">
        <f t="shared" si="54"/>
        <v>2025</v>
      </c>
      <c r="AC403" t="str">
        <f t="shared" si="55"/>
        <v>Clean</v>
      </c>
    </row>
    <row r="404" spans="1:29">
      <c r="A404" t="s">
        <v>1306</v>
      </c>
      <c r="B404" s="2">
        <v>45373</v>
      </c>
      <c r="C404" s="2">
        <v>45373</v>
      </c>
      <c r="D404" s="3">
        <f t="shared" si="48"/>
        <v>0</v>
      </c>
      <c r="E404" t="s">
        <v>1307</v>
      </c>
      <c r="F404" t="s">
        <v>114</v>
      </c>
      <c r="G404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1308</v>
      </c>
      <c r="N404" s="4" t="s">
        <v>2760</v>
      </c>
      <c r="O404">
        <v>3</v>
      </c>
      <c r="P404">
        <v>1365.26</v>
      </c>
      <c r="Q404" s="7">
        <v>0</v>
      </c>
      <c r="R404">
        <v>4095.78</v>
      </c>
      <c r="S404">
        <v>2807.77</v>
      </c>
      <c r="T404">
        <v>1288.01</v>
      </c>
      <c r="U404" t="s">
        <v>32</v>
      </c>
      <c r="V404" t="s">
        <v>33</v>
      </c>
      <c r="W404" s="8">
        <f t="shared" si="49"/>
        <v>0</v>
      </c>
      <c r="X404">
        <f t="shared" si="50"/>
        <v>4095.7799999999997</v>
      </c>
      <c r="Y404">
        <f t="shared" si="51"/>
        <v>1288.0099999999998</v>
      </c>
      <c r="Z404" s="8">
        <f t="shared" si="52"/>
        <v>0.31447245701673426</v>
      </c>
      <c r="AA404" t="str">
        <f t="shared" si="53"/>
        <v>March</v>
      </c>
      <c r="AB404">
        <f t="shared" si="54"/>
        <v>2024</v>
      </c>
      <c r="AC404" t="str">
        <f t="shared" si="55"/>
        <v>Clean</v>
      </c>
    </row>
    <row r="405" spans="1:29">
      <c r="A405" t="s">
        <v>1309</v>
      </c>
      <c r="B405" s="2">
        <v>45565</v>
      </c>
      <c r="C405" s="2">
        <v>45392</v>
      </c>
      <c r="D405" s="5">
        <f t="shared" si="48"/>
        <v>-173</v>
      </c>
      <c r="E405" t="s">
        <v>1310</v>
      </c>
      <c r="F405" t="s">
        <v>53</v>
      </c>
      <c r="G40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29</v>
      </c>
      <c r="M405" t="s">
        <v>1311</v>
      </c>
      <c r="N405" t="s">
        <v>44</v>
      </c>
      <c r="O405">
        <v>5</v>
      </c>
      <c r="P405">
        <v>3512.25</v>
      </c>
      <c r="Q405" s="6">
        <v>0.05</v>
      </c>
      <c r="R405">
        <v>16683.189999999999</v>
      </c>
      <c r="S405">
        <v>10301.16</v>
      </c>
      <c r="T405">
        <v>6382.03</v>
      </c>
      <c r="U405" t="s">
        <v>32</v>
      </c>
      <c r="V405" t="s">
        <v>103</v>
      </c>
      <c r="W405" s="8">
        <f t="shared" si="49"/>
        <v>0.05</v>
      </c>
      <c r="X405">
        <f t="shared" si="50"/>
        <v>16683.1875</v>
      </c>
      <c r="Y405">
        <f t="shared" si="51"/>
        <v>6382.0275000000001</v>
      </c>
      <c r="Z405" s="8">
        <f t="shared" si="52"/>
        <v>0.38254245479168775</v>
      </c>
      <c r="AA405" t="str">
        <f t="shared" si="53"/>
        <v>September</v>
      </c>
      <c r="AB405">
        <f t="shared" si="54"/>
        <v>2024</v>
      </c>
      <c r="AC405" t="str">
        <f t="shared" si="55"/>
        <v>Warning</v>
      </c>
    </row>
    <row r="406" spans="1:29">
      <c r="A406" t="s">
        <v>1312</v>
      </c>
      <c r="B406" s="2">
        <v>45318</v>
      </c>
      <c r="C406" s="2">
        <v>45325</v>
      </c>
      <c r="D406" s="3">
        <f t="shared" si="48"/>
        <v>7</v>
      </c>
      <c r="E406" t="s">
        <v>1313</v>
      </c>
      <c r="F406" t="s">
        <v>89</v>
      </c>
      <c r="G406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1314</v>
      </c>
      <c r="N406" t="s">
        <v>44</v>
      </c>
      <c r="O406">
        <v>3</v>
      </c>
      <c r="P406">
        <v>359.61</v>
      </c>
      <c r="Q406" s="7">
        <v>0</v>
      </c>
      <c r="R406">
        <v>1078.83</v>
      </c>
      <c r="S406">
        <v>926.35</v>
      </c>
      <c r="T406">
        <v>152.47999999999999</v>
      </c>
      <c r="U406" t="s">
        <v>32</v>
      </c>
      <c r="V406" t="s">
        <v>33</v>
      </c>
      <c r="W406" s="8">
        <f t="shared" si="49"/>
        <v>0</v>
      </c>
      <c r="X406">
        <f t="shared" si="50"/>
        <v>1078.83</v>
      </c>
      <c r="Y406">
        <f t="shared" si="51"/>
        <v>152.4799999999999</v>
      </c>
      <c r="Z406" s="8">
        <f t="shared" si="52"/>
        <v>0.14133830167867034</v>
      </c>
      <c r="AA406" t="str">
        <f t="shared" si="53"/>
        <v>January</v>
      </c>
      <c r="AB406">
        <f t="shared" si="54"/>
        <v>2024</v>
      </c>
      <c r="AC406" t="str">
        <f t="shared" si="55"/>
        <v>Clean</v>
      </c>
    </row>
    <row r="407" spans="1:29">
      <c r="A407" t="s">
        <v>1315</v>
      </c>
      <c r="B407" s="2">
        <v>45558</v>
      </c>
      <c r="C407" s="2">
        <v>45559</v>
      </c>
      <c r="D407" s="3">
        <f t="shared" si="48"/>
        <v>1</v>
      </c>
      <c r="E407" t="s">
        <v>1316</v>
      </c>
      <c r="F407" t="s">
        <v>89</v>
      </c>
      <c r="G407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1317</v>
      </c>
      <c r="N407" s="4" t="s">
        <v>2760</v>
      </c>
      <c r="O407">
        <v>7</v>
      </c>
      <c r="P407">
        <v>3878.01</v>
      </c>
      <c r="Q407" s="6">
        <v>0.1</v>
      </c>
      <c r="R407">
        <v>24431.46</v>
      </c>
      <c r="S407">
        <v>18202.36</v>
      </c>
      <c r="T407">
        <v>6229.1</v>
      </c>
      <c r="U407" t="s">
        <v>32</v>
      </c>
      <c r="V407" t="s">
        <v>33</v>
      </c>
      <c r="W407" s="8">
        <f t="shared" si="49"/>
        <v>0.1</v>
      </c>
      <c r="X407">
        <f t="shared" si="50"/>
        <v>24431.463</v>
      </c>
      <c r="Y407">
        <f t="shared" si="51"/>
        <v>6229.1029999999992</v>
      </c>
      <c r="Z407" s="8">
        <f t="shared" si="52"/>
        <v>0.25496234097810677</v>
      </c>
      <c r="AA407" t="str">
        <f t="shared" si="53"/>
        <v>September</v>
      </c>
      <c r="AB407">
        <f t="shared" si="54"/>
        <v>2024</v>
      </c>
      <c r="AC407" t="str">
        <f t="shared" si="55"/>
        <v>Clean</v>
      </c>
    </row>
    <row r="408" spans="1:29">
      <c r="A408" t="s">
        <v>1318</v>
      </c>
      <c r="B408" s="2">
        <v>45713</v>
      </c>
      <c r="C408" s="2">
        <v>45713</v>
      </c>
      <c r="D408" s="3">
        <f t="shared" si="48"/>
        <v>0</v>
      </c>
      <c r="E408" t="s">
        <v>1319</v>
      </c>
      <c r="F408" t="s">
        <v>264</v>
      </c>
      <c r="G408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1320</v>
      </c>
      <c r="N408" t="s">
        <v>59</v>
      </c>
      <c r="O408">
        <v>2</v>
      </c>
      <c r="P408">
        <v>3924.2</v>
      </c>
      <c r="Q408" s="6">
        <v>0.25</v>
      </c>
      <c r="R408">
        <v>5886.3</v>
      </c>
      <c r="S408">
        <v>3621.76</v>
      </c>
      <c r="T408">
        <v>2264.54</v>
      </c>
      <c r="U408" t="s">
        <v>111</v>
      </c>
      <c r="V408" t="s">
        <v>103</v>
      </c>
      <c r="W408" s="8">
        <f t="shared" si="49"/>
        <v>0.25</v>
      </c>
      <c r="X408">
        <f t="shared" si="50"/>
        <v>5886.2999999999993</v>
      </c>
      <c r="Y408">
        <f t="shared" si="51"/>
        <v>2264.5399999999991</v>
      </c>
      <c r="Z408" s="8">
        <f t="shared" si="52"/>
        <v>0.38471365713606159</v>
      </c>
      <c r="AA408" t="str">
        <f t="shared" si="53"/>
        <v>February</v>
      </c>
      <c r="AB408">
        <f t="shared" si="54"/>
        <v>2025</v>
      </c>
      <c r="AC408" t="str">
        <f t="shared" si="55"/>
        <v>Clean</v>
      </c>
    </row>
    <row r="409" spans="1:29">
      <c r="A409" t="s">
        <v>1321</v>
      </c>
      <c r="B409" s="2">
        <v>45424</v>
      </c>
      <c r="C409" s="2">
        <v>45425</v>
      </c>
      <c r="D409" s="3">
        <f t="shared" si="48"/>
        <v>1</v>
      </c>
      <c r="E409" t="s">
        <v>1322</v>
      </c>
      <c r="F409" t="s">
        <v>118</v>
      </c>
      <c r="G409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1323</v>
      </c>
      <c r="N409" t="s">
        <v>31</v>
      </c>
      <c r="O409">
        <v>3</v>
      </c>
      <c r="P409">
        <v>2644.55</v>
      </c>
      <c r="Q409" s="7">
        <v>0</v>
      </c>
      <c r="R409">
        <v>7933.65</v>
      </c>
      <c r="S409">
        <v>5698.42</v>
      </c>
      <c r="T409">
        <v>2235.23</v>
      </c>
      <c r="U409" t="s">
        <v>32</v>
      </c>
      <c r="V409" t="s">
        <v>33</v>
      </c>
      <c r="W409" s="8">
        <f t="shared" si="49"/>
        <v>0</v>
      </c>
      <c r="X409">
        <f t="shared" si="50"/>
        <v>7933.6500000000005</v>
      </c>
      <c r="Y409">
        <f t="shared" si="51"/>
        <v>2235.2300000000005</v>
      </c>
      <c r="Z409" s="8">
        <f t="shared" si="52"/>
        <v>0.2817404347305465</v>
      </c>
      <c r="AA409" t="str">
        <f t="shared" si="53"/>
        <v>May</v>
      </c>
      <c r="AB409">
        <f t="shared" si="54"/>
        <v>2024</v>
      </c>
      <c r="AC409" t="str">
        <f t="shared" si="55"/>
        <v>Clean</v>
      </c>
    </row>
    <row r="410" spans="1:29">
      <c r="A410" t="s">
        <v>1324</v>
      </c>
      <c r="B410" s="2">
        <v>45870</v>
      </c>
      <c r="C410" s="2">
        <v>45872</v>
      </c>
      <c r="D410" s="3">
        <f t="shared" si="48"/>
        <v>2</v>
      </c>
      <c r="E410" t="s">
        <v>1325</v>
      </c>
      <c r="F410" t="s">
        <v>132</v>
      </c>
      <c r="G410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1326</v>
      </c>
      <c r="N410" t="s">
        <v>50</v>
      </c>
      <c r="O410">
        <v>4</v>
      </c>
      <c r="P410">
        <v>1773.46</v>
      </c>
      <c r="Q410" s="7">
        <v>0</v>
      </c>
      <c r="R410">
        <v>7093.84</v>
      </c>
      <c r="S410">
        <v>4587.49</v>
      </c>
      <c r="T410">
        <v>2506.35</v>
      </c>
      <c r="U410" t="s">
        <v>155</v>
      </c>
      <c r="V410" t="s">
        <v>103</v>
      </c>
      <c r="W410" s="8">
        <f t="shared" si="49"/>
        <v>0</v>
      </c>
      <c r="X410">
        <f t="shared" si="50"/>
        <v>7093.84</v>
      </c>
      <c r="Y410">
        <f t="shared" si="51"/>
        <v>2506.3500000000004</v>
      </c>
      <c r="Z410" s="8">
        <f t="shared" si="52"/>
        <v>0.35331357910525191</v>
      </c>
      <c r="AA410" t="str">
        <f t="shared" si="53"/>
        <v>August</v>
      </c>
      <c r="AB410">
        <f t="shared" si="54"/>
        <v>2025</v>
      </c>
      <c r="AC410" t="str">
        <f t="shared" si="55"/>
        <v>Clean</v>
      </c>
    </row>
    <row r="411" spans="1:29">
      <c r="A411" t="s">
        <v>1327</v>
      </c>
      <c r="B411" s="2">
        <v>45701</v>
      </c>
      <c r="C411" s="2">
        <v>45703</v>
      </c>
      <c r="D411" s="3">
        <f t="shared" si="48"/>
        <v>2</v>
      </c>
      <c r="E411" t="s">
        <v>1328</v>
      </c>
      <c r="F411" t="s">
        <v>23</v>
      </c>
      <c r="G411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1329</v>
      </c>
      <c r="N411" t="s">
        <v>44</v>
      </c>
      <c r="O411">
        <v>1</v>
      </c>
      <c r="P411">
        <v>3025.46</v>
      </c>
      <c r="Q411" s="6">
        <v>0.25</v>
      </c>
      <c r="R411">
        <v>2269.1</v>
      </c>
      <c r="S411">
        <v>1593.59</v>
      </c>
      <c r="T411">
        <v>675.51</v>
      </c>
      <c r="U411" t="s">
        <v>102</v>
      </c>
      <c r="V411" t="s">
        <v>103</v>
      </c>
      <c r="W411" s="8">
        <f t="shared" si="49"/>
        <v>0.25</v>
      </c>
      <c r="X411">
        <f t="shared" si="50"/>
        <v>2269.0950000000003</v>
      </c>
      <c r="Y411">
        <f t="shared" si="51"/>
        <v>675.50500000000034</v>
      </c>
      <c r="Z411" s="8">
        <f t="shared" si="52"/>
        <v>0.29769798091309541</v>
      </c>
      <c r="AA411" t="str">
        <f t="shared" si="53"/>
        <v>February</v>
      </c>
      <c r="AB411">
        <f t="shared" si="54"/>
        <v>2025</v>
      </c>
      <c r="AC411" t="str">
        <f t="shared" si="55"/>
        <v>Clean</v>
      </c>
    </row>
    <row r="412" spans="1:29">
      <c r="A412" t="s">
        <v>1330</v>
      </c>
      <c r="B412" s="2">
        <v>45394</v>
      </c>
      <c r="C412" s="2">
        <v>45402</v>
      </c>
      <c r="D412" s="3">
        <f t="shared" si="48"/>
        <v>8</v>
      </c>
      <c r="E412" t="s">
        <v>1331</v>
      </c>
      <c r="F412" t="s">
        <v>162</v>
      </c>
      <c r="G412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1332</v>
      </c>
      <c r="N412" t="s">
        <v>50</v>
      </c>
      <c r="O412">
        <v>9</v>
      </c>
      <c r="P412">
        <v>1302.6099999999999</v>
      </c>
      <c r="Q412" s="6">
        <v>0.2</v>
      </c>
      <c r="R412">
        <v>9378.7900000000009</v>
      </c>
      <c r="S412">
        <v>6774.48</v>
      </c>
      <c r="T412">
        <v>2604.31</v>
      </c>
      <c r="U412" t="s">
        <v>32</v>
      </c>
      <c r="V412" t="s">
        <v>33</v>
      </c>
      <c r="W412" s="8">
        <f t="shared" si="49"/>
        <v>0.2</v>
      </c>
      <c r="X412">
        <f t="shared" si="50"/>
        <v>9378.7919999999995</v>
      </c>
      <c r="Y412">
        <f t="shared" si="51"/>
        <v>2604.3119999999999</v>
      </c>
      <c r="Z412" s="8">
        <f t="shared" si="52"/>
        <v>0.27768096360384154</v>
      </c>
      <c r="AA412" t="str">
        <f t="shared" si="53"/>
        <v>April</v>
      </c>
      <c r="AB412">
        <f t="shared" si="54"/>
        <v>2024</v>
      </c>
      <c r="AC412" t="str">
        <f t="shared" si="55"/>
        <v>Clean</v>
      </c>
    </row>
    <row r="413" spans="1:29">
      <c r="A413" t="s">
        <v>1333</v>
      </c>
      <c r="B413" s="2">
        <v>45892</v>
      </c>
      <c r="C413" s="2">
        <v>45897</v>
      </c>
      <c r="D413" s="3">
        <f t="shared" si="48"/>
        <v>5</v>
      </c>
      <c r="E413" t="s">
        <v>1334</v>
      </c>
      <c r="F413" t="s">
        <v>53</v>
      </c>
      <c r="G413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1335</v>
      </c>
      <c r="N413" t="s">
        <v>50</v>
      </c>
      <c r="O413">
        <v>1</v>
      </c>
      <c r="P413">
        <v>4167.8100000000004</v>
      </c>
      <c r="Q413" s="6">
        <v>0.2</v>
      </c>
      <c r="R413">
        <v>3334.25</v>
      </c>
      <c r="S413">
        <v>2768.77</v>
      </c>
      <c r="T413">
        <v>565.48</v>
      </c>
      <c r="U413" t="s">
        <v>155</v>
      </c>
      <c r="V413" t="s">
        <v>103</v>
      </c>
      <c r="W413" s="8">
        <f t="shared" si="49"/>
        <v>0.2</v>
      </c>
      <c r="X413">
        <f t="shared" si="50"/>
        <v>3334.2480000000005</v>
      </c>
      <c r="Y413">
        <f t="shared" si="51"/>
        <v>565.47800000000052</v>
      </c>
      <c r="Z413" s="8">
        <f t="shared" si="52"/>
        <v>0.16959686262089696</v>
      </c>
      <c r="AA413" t="str">
        <f t="shared" si="53"/>
        <v>August</v>
      </c>
      <c r="AB413">
        <f t="shared" si="54"/>
        <v>2025</v>
      </c>
      <c r="AC413" t="str">
        <f t="shared" si="55"/>
        <v>Clean</v>
      </c>
    </row>
    <row r="414" spans="1:29">
      <c r="A414" t="s">
        <v>1336</v>
      </c>
      <c r="B414" s="2">
        <v>45313</v>
      </c>
      <c r="C414" s="2">
        <v>45321</v>
      </c>
      <c r="D414" s="3">
        <f t="shared" si="48"/>
        <v>8</v>
      </c>
      <c r="E414" t="s">
        <v>1337</v>
      </c>
      <c r="F414" t="s">
        <v>47</v>
      </c>
      <c r="G414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1338</v>
      </c>
      <c r="N414" t="s">
        <v>44</v>
      </c>
      <c r="O414">
        <v>1</v>
      </c>
      <c r="P414">
        <v>2111.39</v>
      </c>
      <c r="Q414" s="6">
        <v>0.25</v>
      </c>
      <c r="R414">
        <v>1583.54</v>
      </c>
      <c r="S414">
        <v>1014.19</v>
      </c>
      <c r="T414">
        <v>569.35</v>
      </c>
      <c r="U414" t="s">
        <v>32</v>
      </c>
      <c r="V414" t="s">
        <v>33</v>
      </c>
      <c r="W414" s="8">
        <f t="shared" si="49"/>
        <v>0.25</v>
      </c>
      <c r="X414">
        <f t="shared" si="50"/>
        <v>1583.5425</v>
      </c>
      <c r="Y414">
        <f t="shared" si="51"/>
        <v>569.35249999999996</v>
      </c>
      <c r="Z414" s="8">
        <f t="shared" si="52"/>
        <v>0.35954355503562424</v>
      </c>
      <c r="AA414" t="str">
        <f t="shared" si="53"/>
        <v>January</v>
      </c>
      <c r="AB414">
        <f t="shared" si="54"/>
        <v>2024</v>
      </c>
      <c r="AC414" t="str">
        <f t="shared" si="55"/>
        <v>Clean</v>
      </c>
    </row>
    <row r="415" spans="1:29">
      <c r="A415" t="s">
        <v>1339</v>
      </c>
      <c r="B415" s="2">
        <v>45882</v>
      </c>
      <c r="C415" s="2">
        <v>45886</v>
      </c>
      <c r="D415" s="3">
        <f t="shared" si="48"/>
        <v>4</v>
      </c>
      <c r="E415" t="s">
        <v>1340</v>
      </c>
      <c r="F415" t="s">
        <v>79</v>
      </c>
      <c r="G41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1341</v>
      </c>
      <c r="N415" t="s">
        <v>31</v>
      </c>
      <c r="O415">
        <v>8</v>
      </c>
      <c r="P415">
        <v>1918.23</v>
      </c>
      <c r="Q415" s="7">
        <v>0</v>
      </c>
      <c r="R415">
        <v>15345.84</v>
      </c>
      <c r="S415">
        <v>10735.33</v>
      </c>
      <c r="T415">
        <v>4610.51</v>
      </c>
      <c r="U415" t="s">
        <v>111</v>
      </c>
      <c r="V415" t="s">
        <v>68</v>
      </c>
      <c r="W415" s="8">
        <f t="shared" si="49"/>
        <v>0</v>
      </c>
      <c r="X415">
        <f t="shared" si="50"/>
        <v>15345.84</v>
      </c>
      <c r="Y415">
        <f t="shared" si="51"/>
        <v>4610.51</v>
      </c>
      <c r="Z415" s="8">
        <f t="shared" si="52"/>
        <v>0.30044037993358463</v>
      </c>
      <c r="AA415" t="str">
        <f t="shared" si="53"/>
        <v>August</v>
      </c>
      <c r="AB415">
        <f t="shared" si="54"/>
        <v>2025</v>
      </c>
      <c r="AC415" t="str">
        <f t="shared" si="55"/>
        <v>Clean</v>
      </c>
    </row>
    <row r="416" spans="1:29">
      <c r="A416" t="s">
        <v>1342</v>
      </c>
      <c r="B416" s="2">
        <v>45533</v>
      </c>
      <c r="C416" s="2">
        <v>45534</v>
      </c>
      <c r="D416" s="3">
        <f t="shared" si="48"/>
        <v>1</v>
      </c>
      <c r="E416" t="s">
        <v>1343</v>
      </c>
      <c r="F416" t="s">
        <v>53</v>
      </c>
      <c r="G416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1344</v>
      </c>
      <c r="N416" t="s">
        <v>50</v>
      </c>
      <c r="O416">
        <v>4</v>
      </c>
      <c r="P416">
        <v>2484.08</v>
      </c>
      <c r="Q416" s="6">
        <v>0.05</v>
      </c>
      <c r="R416">
        <v>9439.5</v>
      </c>
      <c r="S416">
        <v>5519.39</v>
      </c>
      <c r="T416">
        <v>3920.11</v>
      </c>
      <c r="U416" t="s">
        <v>32</v>
      </c>
      <c r="V416" t="s">
        <v>33</v>
      </c>
      <c r="W416" s="8">
        <f t="shared" si="49"/>
        <v>0.05</v>
      </c>
      <c r="X416">
        <f t="shared" si="50"/>
        <v>9439.503999999999</v>
      </c>
      <c r="Y416">
        <f t="shared" si="51"/>
        <v>3920.1139999999987</v>
      </c>
      <c r="Z416" s="8">
        <f t="shared" si="52"/>
        <v>0.41528813378330037</v>
      </c>
      <c r="AA416" t="str">
        <f t="shared" si="53"/>
        <v>August</v>
      </c>
      <c r="AB416">
        <f t="shared" si="54"/>
        <v>2024</v>
      </c>
      <c r="AC416" t="str">
        <f t="shared" si="55"/>
        <v>Clean</v>
      </c>
    </row>
    <row r="417" spans="1:29">
      <c r="A417" t="s">
        <v>1345</v>
      </c>
      <c r="B417" s="2">
        <v>45316</v>
      </c>
      <c r="C417" s="2">
        <v>45318</v>
      </c>
      <c r="D417" s="3">
        <f t="shared" si="48"/>
        <v>2</v>
      </c>
      <c r="E417" t="s">
        <v>1346</v>
      </c>
      <c r="F417" t="s">
        <v>128</v>
      </c>
      <c r="G417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1347</v>
      </c>
      <c r="N417" t="s">
        <v>44</v>
      </c>
      <c r="O417">
        <v>7</v>
      </c>
      <c r="P417">
        <v>1727.26</v>
      </c>
      <c r="Q417" s="6">
        <v>0.15</v>
      </c>
      <c r="R417">
        <v>10277.200000000001</v>
      </c>
      <c r="S417">
        <v>7906.5</v>
      </c>
      <c r="T417">
        <v>2370.6999999999998</v>
      </c>
      <c r="U417" t="s">
        <v>32</v>
      </c>
      <c r="V417" t="s">
        <v>103</v>
      </c>
      <c r="W417" s="8">
        <f t="shared" si="49"/>
        <v>0.15</v>
      </c>
      <c r="X417">
        <f t="shared" si="50"/>
        <v>10277.197</v>
      </c>
      <c r="Y417">
        <f t="shared" si="51"/>
        <v>2370.6970000000001</v>
      </c>
      <c r="Z417" s="8">
        <f t="shared" si="52"/>
        <v>0.23067544584384245</v>
      </c>
      <c r="AA417" t="str">
        <f t="shared" si="53"/>
        <v>January</v>
      </c>
      <c r="AB417">
        <f t="shared" si="54"/>
        <v>2024</v>
      </c>
      <c r="AC417" t="str">
        <f t="shared" si="55"/>
        <v>Clean</v>
      </c>
    </row>
    <row r="418" spans="1:29">
      <c r="A418" t="s">
        <v>1348</v>
      </c>
      <c r="B418" s="2">
        <v>45665</v>
      </c>
      <c r="C418" s="2">
        <v>45673</v>
      </c>
      <c r="D418" s="3">
        <f t="shared" si="48"/>
        <v>8</v>
      </c>
      <c r="E418" t="s">
        <v>1349</v>
      </c>
      <c r="F418" t="s">
        <v>79</v>
      </c>
      <c r="G418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1350</v>
      </c>
      <c r="N418" t="s">
        <v>50</v>
      </c>
      <c r="O418">
        <v>8</v>
      </c>
      <c r="P418">
        <v>638.95000000000005</v>
      </c>
      <c r="Q418" s="6">
        <v>0.25</v>
      </c>
      <c r="R418">
        <v>3833.7</v>
      </c>
      <c r="S418">
        <v>2886.35</v>
      </c>
      <c r="T418">
        <v>947.35</v>
      </c>
      <c r="U418" t="s">
        <v>32</v>
      </c>
      <c r="V418" t="s">
        <v>33</v>
      </c>
      <c r="W418" s="8">
        <f t="shared" si="49"/>
        <v>0.25</v>
      </c>
      <c r="X418">
        <f t="shared" si="50"/>
        <v>3833.7000000000003</v>
      </c>
      <c r="Y418">
        <f t="shared" si="51"/>
        <v>947.35000000000036</v>
      </c>
      <c r="Z418" s="8">
        <f t="shared" si="52"/>
        <v>0.24711114589039318</v>
      </c>
      <c r="AA418" t="str">
        <f t="shared" si="53"/>
        <v>January</v>
      </c>
      <c r="AB418">
        <f t="shared" si="54"/>
        <v>2025</v>
      </c>
      <c r="AC418" t="str">
        <f t="shared" si="55"/>
        <v>Clean</v>
      </c>
    </row>
    <row r="419" spans="1:29">
      <c r="A419" t="s">
        <v>1351</v>
      </c>
      <c r="B419" s="2">
        <v>45686</v>
      </c>
      <c r="C419" s="2">
        <v>45693</v>
      </c>
      <c r="D419" s="3">
        <f t="shared" si="48"/>
        <v>7</v>
      </c>
      <c r="E419" t="s">
        <v>1352</v>
      </c>
      <c r="F419" t="s">
        <v>36</v>
      </c>
      <c r="G419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1353</v>
      </c>
      <c r="N419" t="s">
        <v>50</v>
      </c>
      <c r="O419">
        <v>6</v>
      </c>
      <c r="P419">
        <v>3863</v>
      </c>
      <c r="Q419" s="6">
        <v>0.2</v>
      </c>
      <c r="R419">
        <v>18542.400000000001</v>
      </c>
      <c r="S419">
        <v>11193.75</v>
      </c>
      <c r="T419">
        <v>7348.65</v>
      </c>
      <c r="U419" t="s">
        <v>32</v>
      </c>
      <c r="V419" t="s">
        <v>33</v>
      </c>
      <c r="W419" s="8">
        <f t="shared" si="49"/>
        <v>0.2</v>
      </c>
      <c r="X419">
        <f t="shared" si="50"/>
        <v>18542.400000000001</v>
      </c>
      <c r="Y419">
        <f t="shared" si="51"/>
        <v>7348.6500000000015</v>
      </c>
      <c r="Z419" s="8">
        <f t="shared" si="52"/>
        <v>0.39631601087237905</v>
      </c>
      <c r="AA419" t="str">
        <f t="shared" si="53"/>
        <v>January</v>
      </c>
      <c r="AB419">
        <f t="shared" si="54"/>
        <v>2025</v>
      </c>
      <c r="AC419" t="str">
        <f t="shared" si="55"/>
        <v>Clean</v>
      </c>
    </row>
    <row r="420" spans="1:29">
      <c r="A420" t="s">
        <v>1354</v>
      </c>
      <c r="B420" s="2">
        <v>45605</v>
      </c>
      <c r="C420" s="2">
        <v>45613</v>
      </c>
      <c r="D420" s="3">
        <f t="shared" si="48"/>
        <v>8</v>
      </c>
      <c r="E420" t="s">
        <v>1355</v>
      </c>
      <c r="F420" t="s">
        <v>132</v>
      </c>
      <c r="G420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1356</v>
      </c>
      <c r="N420" t="s">
        <v>59</v>
      </c>
      <c r="O420">
        <v>6</v>
      </c>
      <c r="P420">
        <v>3660.4</v>
      </c>
      <c r="Q420" s="7">
        <v>0</v>
      </c>
      <c r="R420">
        <v>21962.400000000001</v>
      </c>
      <c r="S420">
        <v>15331.99</v>
      </c>
      <c r="T420">
        <v>6630.41</v>
      </c>
      <c r="U420" t="s">
        <v>155</v>
      </c>
      <c r="V420" t="s">
        <v>68</v>
      </c>
      <c r="W420" s="8">
        <f t="shared" si="49"/>
        <v>0</v>
      </c>
      <c r="X420">
        <f t="shared" si="50"/>
        <v>21962.400000000001</v>
      </c>
      <c r="Y420">
        <f t="shared" si="51"/>
        <v>6630.4100000000017</v>
      </c>
      <c r="Z420" s="8">
        <f t="shared" si="52"/>
        <v>0.3018982442720286</v>
      </c>
      <c r="AA420" t="str">
        <f t="shared" si="53"/>
        <v>November</v>
      </c>
      <c r="AB420">
        <f t="shared" si="54"/>
        <v>2024</v>
      </c>
      <c r="AC420" t="str">
        <f t="shared" si="55"/>
        <v>Clean</v>
      </c>
    </row>
    <row r="421" spans="1:29">
      <c r="A421" t="s">
        <v>1357</v>
      </c>
      <c r="B421" s="2">
        <v>45926</v>
      </c>
      <c r="C421" s="2">
        <v>45930</v>
      </c>
      <c r="D421" s="3">
        <f t="shared" si="48"/>
        <v>4</v>
      </c>
      <c r="E421" t="s">
        <v>1358</v>
      </c>
      <c r="F421" t="s">
        <v>132</v>
      </c>
      <c r="G421" t="s">
        <v>95</v>
      </c>
      <c r="H421" t="s">
        <v>25</v>
      </c>
      <c r="I421" t="s">
        <v>236</v>
      </c>
      <c r="J421" t="s">
        <v>237</v>
      </c>
      <c r="K421" t="s">
        <v>74</v>
      </c>
      <c r="L421" t="s">
        <v>171</v>
      </c>
      <c r="M421" t="s">
        <v>1359</v>
      </c>
      <c r="N421" t="s">
        <v>44</v>
      </c>
      <c r="O421">
        <v>2</v>
      </c>
      <c r="P421">
        <v>688.83</v>
      </c>
      <c r="Q421" s="6">
        <v>0.05</v>
      </c>
      <c r="R421">
        <v>1308.78</v>
      </c>
      <c r="S421">
        <v>843</v>
      </c>
      <c r="T421">
        <v>465.78</v>
      </c>
      <c r="U421" t="s">
        <v>32</v>
      </c>
      <c r="V421" t="s">
        <v>33</v>
      </c>
      <c r="W421" s="8">
        <f t="shared" si="49"/>
        <v>0.05</v>
      </c>
      <c r="X421">
        <f t="shared" si="50"/>
        <v>1308.777</v>
      </c>
      <c r="Y421">
        <f t="shared" si="51"/>
        <v>465.77700000000004</v>
      </c>
      <c r="Z421" s="8">
        <f t="shared" si="52"/>
        <v>0.35588721378813964</v>
      </c>
      <c r="AA421" t="str">
        <f t="shared" si="53"/>
        <v>September</v>
      </c>
      <c r="AB421">
        <f t="shared" si="54"/>
        <v>2025</v>
      </c>
      <c r="AC421" t="str">
        <f t="shared" si="55"/>
        <v>Clean</v>
      </c>
    </row>
    <row r="422" spans="1:29">
      <c r="A422" t="s">
        <v>1360</v>
      </c>
      <c r="B422" s="2">
        <v>45734</v>
      </c>
      <c r="C422" s="2">
        <v>45735</v>
      </c>
      <c r="D422" s="3">
        <f t="shared" si="48"/>
        <v>1</v>
      </c>
      <c r="E422" t="s">
        <v>1361</v>
      </c>
      <c r="F422" t="s">
        <v>47</v>
      </c>
      <c r="G422" t="s">
        <v>90</v>
      </c>
      <c r="H422" t="s">
        <v>54</v>
      </c>
      <c r="I422" t="s">
        <v>247</v>
      </c>
      <c r="J422" t="s">
        <v>248</v>
      </c>
      <c r="K422" t="s">
        <v>74</v>
      </c>
      <c r="L422" t="s">
        <v>274</v>
      </c>
      <c r="M422" t="s">
        <v>1362</v>
      </c>
      <c r="N422" t="s">
        <v>59</v>
      </c>
      <c r="O422">
        <v>2</v>
      </c>
      <c r="P422">
        <v>1209.99</v>
      </c>
      <c r="Q422" s="6">
        <v>0.25</v>
      </c>
      <c r="R422">
        <v>1814.99</v>
      </c>
      <c r="S422">
        <v>1120.06</v>
      </c>
      <c r="T422">
        <v>694.93</v>
      </c>
      <c r="U422" t="s">
        <v>111</v>
      </c>
      <c r="V422" t="s">
        <v>68</v>
      </c>
      <c r="W422" s="8">
        <f t="shared" si="49"/>
        <v>0.25</v>
      </c>
      <c r="X422">
        <f t="shared" si="50"/>
        <v>1814.9850000000001</v>
      </c>
      <c r="Y422">
        <f t="shared" si="51"/>
        <v>694.92500000000018</v>
      </c>
      <c r="Z422" s="8">
        <f t="shared" si="52"/>
        <v>0.38288195219244242</v>
      </c>
      <c r="AA422" t="str">
        <f t="shared" si="53"/>
        <v>March</v>
      </c>
      <c r="AB422">
        <f t="shared" si="54"/>
        <v>2025</v>
      </c>
      <c r="AC422" t="str">
        <f t="shared" si="55"/>
        <v>Clean</v>
      </c>
    </row>
    <row r="423" spans="1:29">
      <c r="A423" t="s">
        <v>1363</v>
      </c>
      <c r="B423" s="2">
        <v>45822</v>
      </c>
      <c r="C423" s="2">
        <v>45827</v>
      </c>
      <c r="D423" s="3">
        <f t="shared" si="48"/>
        <v>5</v>
      </c>
      <c r="E423" t="s">
        <v>1364</v>
      </c>
      <c r="F423" t="s">
        <v>141</v>
      </c>
      <c r="G423" t="s">
        <v>37</v>
      </c>
      <c r="H423" t="s">
        <v>25</v>
      </c>
      <c r="I423" t="s">
        <v>350</v>
      </c>
      <c r="J423" t="s">
        <v>351</v>
      </c>
      <c r="K423" t="s">
        <v>28</v>
      </c>
      <c r="L423" t="s">
        <v>153</v>
      </c>
      <c r="M423" t="s">
        <v>1365</v>
      </c>
      <c r="N423" t="s">
        <v>44</v>
      </c>
      <c r="O423">
        <v>3</v>
      </c>
      <c r="P423">
        <v>1037.45</v>
      </c>
      <c r="Q423" s="6">
        <v>0.2</v>
      </c>
      <c r="R423">
        <v>2489.88</v>
      </c>
      <c r="S423">
        <v>1707.52</v>
      </c>
      <c r="T423">
        <v>782.36</v>
      </c>
      <c r="U423" t="s">
        <v>111</v>
      </c>
      <c r="V423" t="s">
        <v>103</v>
      </c>
      <c r="W423" s="8">
        <f t="shared" si="49"/>
        <v>0.2</v>
      </c>
      <c r="X423">
        <f t="shared" si="50"/>
        <v>2489.8800000000006</v>
      </c>
      <c r="Y423">
        <f t="shared" si="51"/>
        <v>782.36000000000058</v>
      </c>
      <c r="Z423" s="8">
        <f t="shared" si="52"/>
        <v>0.31421594615001541</v>
      </c>
      <c r="AA423" t="str">
        <f t="shared" si="53"/>
        <v>June</v>
      </c>
      <c r="AB423">
        <f t="shared" si="54"/>
        <v>2025</v>
      </c>
      <c r="AC423" t="str">
        <f t="shared" si="55"/>
        <v>Clean</v>
      </c>
    </row>
    <row r="424" spans="1:29">
      <c r="A424" t="s">
        <v>1366</v>
      </c>
      <c r="B424" s="2">
        <v>45903</v>
      </c>
      <c r="C424" s="2">
        <v>45906</v>
      </c>
      <c r="D424" s="3">
        <f t="shared" si="48"/>
        <v>3</v>
      </c>
      <c r="E424" t="s">
        <v>1367</v>
      </c>
      <c r="F424" t="s">
        <v>264</v>
      </c>
      <c r="G424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1368</v>
      </c>
      <c r="N424" t="s">
        <v>44</v>
      </c>
      <c r="O424">
        <v>7</v>
      </c>
      <c r="P424">
        <v>688.85</v>
      </c>
      <c r="Q424" s="6">
        <v>0.15</v>
      </c>
      <c r="R424">
        <v>4098.66</v>
      </c>
      <c r="S424">
        <v>2678.06</v>
      </c>
      <c r="T424">
        <v>1420.6</v>
      </c>
      <c r="U424" t="s">
        <v>32</v>
      </c>
      <c r="V424" t="s">
        <v>33</v>
      </c>
      <c r="W424" s="8">
        <f t="shared" si="49"/>
        <v>0.15</v>
      </c>
      <c r="X424">
        <f t="shared" si="50"/>
        <v>4098.6574999999993</v>
      </c>
      <c r="Y424">
        <f t="shared" si="51"/>
        <v>1420.5974999999994</v>
      </c>
      <c r="Z424" s="8">
        <f t="shared" si="52"/>
        <v>0.34660068571233377</v>
      </c>
      <c r="AA424" t="str">
        <f t="shared" si="53"/>
        <v>September</v>
      </c>
      <c r="AB424">
        <f t="shared" si="54"/>
        <v>2025</v>
      </c>
      <c r="AC424" t="str">
        <f t="shared" si="55"/>
        <v>Clean</v>
      </c>
    </row>
    <row r="425" spans="1:29">
      <c r="A425" s="4" t="s">
        <v>1369</v>
      </c>
      <c r="B425" s="2">
        <v>45342</v>
      </c>
      <c r="C425" s="2">
        <v>45349</v>
      </c>
      <c r="D425" s="3">
        <f t="shared" si="48"/>
        <v>7</v>
      </c>
      <c r="E425" t="s">
        <v>1370</v>
      </c>
      <c r="F425" t="s">
        <v>162</v>
      </c>
      <c r="G42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1371</v>
      </c>
      <c r="N425" t="s">
        <v>50</v>
      </c>
      <c r="O425">
        <v>9</v>
      </c>
      <c r="P425">
        <v>3779.31</v>
      </c>
      <c r="Q425" s="6">
        <v>0.2</v>
      </c>
      <c r="R425">
        <v>27211.03</v>
      </c>
      <c r="S425">
        <v>17940.43</v>
      </c>
      <c r="T425">
        <v>9270.6</v>
      </c>
      <c r="U425" t="s">
        <v>32</v>
      </c>
      <c r="V425" t="s">
        <v>33</v>
      </c>
      <c r="W425" s="8">
        <f t="shared" si="49"/>
        <v>0.2</v>
      </c>
      <c r="X425">
        <f t="shared" si="50"/>
        <v>27211.032000000003</v>
      </c>
      <c r="Y425">
        <f t="shared" si="51"/>
        <v>9270.6020000000026</v>
      </c>
      <c r="Z425" s="8">
        <f t="shared" si="52"/>
        <v>0.34069277490100347</v>
      </c>
      <c r="AA425" t="str">
        <f t="shared" si="53"/>
        <v>February</v>
      </c>
      <c r="AB425">
        <f t="shared" si="54"/>
        <v>2024</v>
      </c>
      <c r="AC425" t="str">
        <f t="shared" si="55"/>
        <v>Clean</v>
      </c>
    </row>
    <row r="426" spans="1:29">
      <c r="A426" t="s">
        <v>1372</v>
      </c>
      <c r="B426" s="2">
        <v>45469</v>
      </c>
      <c r="C426" s="2">
        <v>45472</v>
      </c>
      <c r="D426" s="3">
        <f t="shared" si="48"/>
        <v>3</v>
      </c>
      <c r="E426" t="s">
        <v>1373</v>
      </c>
      <c r="F426" t="s">
        <v>79</v>
      </c>
      <c r="G426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1374</v>
      </c>
      <c r="N426" t="s">
        <v>59</v>
      </c>
      <c r="O426">
        <v>8</v>
      </c>
      <c r="P426">
        <v>804.52</v>
      </c>
      <c r="Q426" s="7">
        <v>0</v>
      </c>
      <c r="R426">
        <v>6436.16</v>
      </c>
      <c r="S426">
        <v>4263.83</v>
      </c>
      <c r="T426">
        <v>2172.33</v>
      </c>
      <c r="U426" t="s">
        <v>32</v>
      </c>
      <c r="V426" t="s">
        <v>33</v>
      </c>
      <c r="W426" s="8">
        <f t="shared" si="49"/>
        <v>0</v>
      </c>
      <c r="X426">
        <f t="shared" si="50"/>
        <v>6436.16</v>
      </c>
      <c r="Y426">
        <f t="shared" si="51"/>
        <v>2172.33</v>
      </c>
      <c r="Z426" s="8">
        <f t="shared" si="52"/>
        <v>0.33751957689056827</v>
      </c>
      <c r="AA426" t="str">
        <f t="shared" si="53"/>
        <v>June</v>
      </c>
      <c r="AB426">
        <f t="shared" si="54"/>
        <v>2024</v>
      </c>
      <c r="AC426" t="str">
        <f t="shared" si="55"/>
        <v>Clean</v>
      </c>
    </row>
    <row r="427" spans="1:29">
      <c r="A427" t="s">
        <v>1375</v>
      </c>
      <c r="B427" s="2">
        <v>45561</v>
      </c>
      <c r="C427" s="2">
        <v>45562</v>
      </c>
      <c r="D427" s="3">
        <f t="shared" si="48"/>
        <v>1</v>
      </c>
      <c r="E427" t="s">
        <v>1376</v>
      </c>
      <c r="F427" t="s">
        <v>47</v>
      </c>
      <c r="G427" t="s">
        <v>95</v>
      </c>
      <c r="H427" t="s">
        <v>25</v>
      </c>
      <c r="I427" t="s">
        <v>350</v>
      </c>
      <c r="J427" t="s">
        <v>351</v>
      </c>
      <c r="K427" t="s">
        <v>28</v>
      </c>
      <c r="L427" t="s">
        <v>91</v>
      </c>
      <c r="M427" t="s">
        <v>1377</v>
      </c>
      <c r="N427" t="s">
        <v>50</v>
      </c>
      <c r="O427">
        <v>2</v>
      </c>
      <c r="P427">
        <v>1065.69</v>
      </c>
      <c r="Q427" s="6">
        <v>0.1</v>
      </c>
      <c r="R427">
        <v>1918.24</v>
      </c>
      <c r="S427">
        <v>1373.52</v>
      </c>
      <c r="T427">
        <v>544.72</v>
      </c>
      <c r="U427" t="s">
        <v>102</v>
      </c>
      <c r="V427" t="s">
        <v>68</v>
      </c>
      <c r="W427" s="8">
        <f t="shared" si="49"/>
        <v>0.1</v>
      </c>
      <c r="X427">
        <f t="shared" si="50"/>
        <v>1918.2420000000002</v>
      </c>
      <c r="Y427">
        <f t="shared" si="51"/>
        <v>544.72200000000021</v>
      </c>
      <c r="Z427" s="8">
        <f t="shared" si="52"/>
        <v>0.2839693844676533</v>
      </c>
      <c r="AA427" t="str">
        <f t="shared" si="53"/>
        <v>September</v>
      </c>
      <c r="AB427">
        <f t="shared" si="54"/>
        <v>2024</v>
      </c>
      <c r="AC427" t="str">
        <f t="shared" si="55"/>
        <v>Clean</v>
      </c>
    </row>
    <row r="428" spans="1:29">
      <c r="A428" t="s">
        <v>1378</v>
      </c>
      <c r="B428" s="2">
        <v>45473</v>
      </c>
      <c r="C428" s="2">
        <v>45298</v>
      </c>
      <c r="D428" s="5">
        <f t="shared" si="48"/>
        <v>-175</v>
      </c>
      <c r="E428" t="s">
        <v>1379</v>
      </c>
      <c r="F428" t="s">
        <v>89</v>
      </c>
      <c r="G428" t="s">
        <v>24</v>
      </c>
      <c r="H428" t="s">
        <v>25</v>
      </c>
      <c r="I428" t="s">
        <v>236</v>
      </c>
      <c r="J428" t="s">
        <v>237</v>
      </c>
      <c r="K428" t="s">
        <v>74</v>
      </c>
      <c r="L428" t="s">
        <v>80</v>
      </c>
      <c r="M428" t="s">
        <v>1380</v>
      </c>
      <c r="N428" t="s">
        <v>44</v>
      </c>
      <c r="O428">
        <v>8</v>
      </c>
      <c r="P428">
        <v>3756.66</v>
      </c>
      <c r="Q428" s="6">
        <v>0.1</v>
      </c>
      <c r="R428">
        <v>27047.95</v>
      </c>
      <c r="S428">
        <v>18431.330000000002</v>
      </c>
      <c r="T428">
        <v>8616.6200000000008</v>
      </c>
      <c r="U428" t="s">
        <v>32</v>
      </c>
      <c r="V428" t="s">
        <v>33</v>
      </c>
      <c r="W428" s="8">
        <f t="shared" si="49"/>
        <v>0.1</v>
      </c>
      <c r="X428">
        <f t="shared" si="50"/>
        <v>27047.952000000001</v>
      </c>
      <c r="Y428">
        <f t="shared" si="51"/>
        <v>8616.6219999999994</v>
      </c>
      <c r="Z428" s="8">
        <f t="shared" si="52"/>
        <v>0.31856837072174626</v>
      </c>
      <c r="AA428" t="str">
        <f t="shared" si="53"/>
        <v>June</v>
      </c>
      <c r="AB428">
        <f t="shared" si="54"/>
        <v>2024</v>
      </c>
      <c r="AC428" t="str">
        <f t="shared" si="55"/>
        <v>Warning</v>
      </c>
    </row>
    <row r="429" spans="1:29">
      <c r="A429" t="s">
        <v>1381</v>
      </c>
      <c r="B429" s="2">
        <v>45769</v>
      </c>
      <c r="C429" s="2">
        <v>45771</v>
      </c>
      <c r="D429" s="3">
        <f t="shared" si="48"/>
        <v>2</v>
      </c>
      <c r="E429" t="s">
        <v>1382</v>
      </c>
      <c r="F429" t="s">
        <v>47</v>
      </c>
      <c r="G429" t="s">
        <v>90</v>
      </c>
      <c r="H429" s="4" t="s">
        <v>2760</v>
      </c>
      <c r="I429" t="s">
        <v>228</v>
      </c>
      <c r="J429" t="s">
        <v>229</v>
      </c>
      <c r="K429" t="s">
        <v>74</v>
      </c>
      <c r="L429" t="s">
        <v>75</v>
      </c>
      <c r="M429" t="s">
        <v>1383</v>
      </c>
      <c r="N429" t="s">
        <v>59</v>
      </c>
      <c r="O429">
        <v>9</v>
      </c>
      <c r="P429">
        <v>2939.44</v>
      </c>
      <c r="Q429" s="7">
        <v>0</v>
      </c>
      <c r="R429">
        <v>26454.959999999999</v>
      </c>
      <c r="S429">
        <v>17630.25</v>
      </c>
      <c r="T429">
        <v>8824.7099999999991</v>
      </c>
      <c r="U429" t="s">
        <v>32</v>
      </c>
      <c r="V429" t="s">
        <v>33</v>
      </c>
      <c r="W429" s="8">
        <f t="shared" si="49"/>
        <v>0</v>
      </c>
      <c r="X429">
        <f t="shared" si="50"/>
        <v>26454.959999999999</v>
      </c>
      <c r="Y429">
        <f t="shared" si="51"/>
        <v>8824.7099999999991</v>
      </c>
      <c r="Z429" s="8">
        <f t="shared" si="52"/>
        <v>0.33357487594008833</v>
      </c>
      <c r="AA429" t="str">
        <f t="shared" si="53"/>
        <v>April</v>
      </c>
      <c r="AB429">
        <f t="shared" si="54"/>
        <v>2025</v>
      </c>
      <c r="AC429" t="str">
        <f t="shared" si="55"/>
        <v>Clean</v>
      </c>
    </row>
    <row r="430" spans="1:29">
      <c r="A430" t="s">
        <v>1384</v>
      </c>
      <c r="B430" s="2">
        <v>45731</v>
      </c>
      <c r="C430" s="2">
        <v>45738</v>
      </c>
      <c r="D430" s="3">
        <f t="shared" si="48"/>
        <v>7</v>
      </c>
      <c r="E430" t="s">
        <v>1385</v>
      </c>
      <c r="F430" t="s">
        <v>23</v>
      </c>
      <c r="G430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1386</v>
      </c>
      <c r="N430" t="s">
        <v>44</v>
      </c>
      <c r="O430">
        <v>2</v>
      </c>
      <c r="P430">
        <v>1235.93</v>
      </c>
      <c r="Q430" s="6">
        <v>0.25</v>
      </c>
      <c r="R430">
        <v>1853.89</v>
      </c>
      <c r="S430">
        <v>1101.23</v>
      </c>
      <c r="T430">
        <v>752.66</v>
      </c>
      <c r="U430" t="s">
        <v>111</v>
      </c>
      <c r="V430" t="s">
        <v>68</v>
      </c>
      <c r="W430" s="8">
        <f t="shared" si="49"/>
        <v>0.25</v>
      </c>
      <c r="X430">
        <f t="shared" si="50"/>
        <v>1853.895</v>
      </c>
      <c r="Y430">
        <f t="shared" si="51"/>
        <v>752.66499999999996</v>
      </c>
      <c r="Z430" s="8">
        <f t="shared" si="52"/>
        <v>0.40599116994220275</v>
      </c>
      <c r="AA430" t="str">
        <f t="shared" si="53"/>
        <v>March</v>
      </c>
      <c r="AB430">
        <f t="shared" si="54"/>
        <v>2025</v>
      </c>
      <c r="AC430" t="str">
        <f t="shared" si="55"/>
        <v>Clean</v>
      </c>
    </row>
    <row r="431" spans="1:29">
      <c r="A431" t="s">
        <v>1387</v>
      </c>
      <c r="B431" s="2">
        <v>45717</v>
      </c>
      <c r="C431" s="2">
        <v>45872</v>
      </c>
      <c r="D431" s="3">
        <f t="shared" si="48"/>
        <v>155</v>
      </c>
      <c r="E431" t="s">
        <v>1388</v>
      </c>
      <c r="F431" t="s">
        <v>79</v>
      </c>
      <c r="G431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1389</v>
      </c>
      <c r="N431" t="s">
        <v>44</v>
      </c>
      <c r="O431">
        <v>8</v>
      </c>
      <c r="P431">
        <v>2943.1</v>
      </c>
      <c r="Q431" s="6">
        <v>0.25</v>
      </c>
      <c r="R431">
        <v>17658.599999999999</v>
      </c>
      <c r="S431">
        <v>13842.48</v>
      </c>
      <c r="T431">
        <v>3816.12</v>
      </c>
      <c r="U431" t="s">
        <v>32</v>
      </c>
      <c r="V431" t="s">
        <v>33</v>
      </c>
      <c r="W431" s="8">
        <f t="shared" si="49"/>
        <v>0.25</v>
      </c>
      <c r="X431">
        <f t="shared" si="50"/>
        <v>17658.599999999999</v>
      </c>
      <c r="Y431">
        <f t="shared" si="51"/>
        <v>3816.119999999999</v>
      </c>
      <c r="Z431" s="8">
        <f t="shared" si="52"/>
        <v>0.2161054670245659</v>
      </c>
      <c r="AA431" t="str">
        <f t="shared" si="53"/>
        <v>March</v>
      </c>
      <c r="AB431">
        <f t="shared" si="54"/>
        <v>2025</v>
      </c>
      <c r="AC431" t="str">
        <f t="shared" si="55"/>
        <v>Clean</v>
      </c>
    </row>
    <row r="432" spans="1:29">
      <c r="A432" t="s">
        <v>1390</v>
      </c>
      <c r="B432" s="2">
        <v>45534</v>
      </c>
      <c r="C432" s="2">
        <v>45331</v>
      </c>
      <c r="D432" s="5">
        <f t="shared" si="48"/>
        <v>-203</v>
      </c>
      <c r="E432" t="s">
        <v>1391</v>
      </c>
      <c r="F432" t="s">
        <v>79</v>
      </c>
      <c r="G432" t="s">
        <v>37</v>
      </c>
      <c r="H432" t="s">
        <v>25</v>
      </c>
      <c r="I432" t="s">
        <v>236</v>
      </c>
      <c r="J432" t="s">
        <v>237</v>
      </c>
      <c r="K432" t="s">
        <v>28</v>
      </c>
      <c r="L432" t="s">
        <v>29</v>
      </c>
      <c r="M432" t="s">
        <v>1392</v>
      </c>
      <c r="N432" t="s">
        <v>31</v>
      </c>
      <c r="O432">
        <v>1</v>
      </c>
      <c r="P432">
        <v>4320.84</v>
      </c>
      <c r="Q432" s="6">
        <v>0.15</v>
      </c>
      <c r="R432">
        <v>3672.71</v>
      </c>
      <c r="S432">
        <v>2714.23</v>
      </c>
      <c r="T432">
        <v>763.38</v>
      </c>
      <c r="U432" t="s">
        <v>32</v>
      </c>
      <c r="V432" t="s">
        <v>33</v>
      </c>
      <c r="W432" s="8">
        <f t="shared" si="49"/>
        <v>0.15</v>
      </c>
      <c r="X432">
        <f t="shared" si="50"/>
        <v>3672.7139999999999</v>
      </c>
      <c r="Y432">
        <f t="shared" si="51"/>
        <v>958.48399999999992</v>
      </c>
      <c r="Z432" s="8">
        <f t="shared" si="52"/>
        <v>0.26097430946161337</v>
      </c>
      <c r="AA432" t="str">
        <f t="shared" si="53"/>
        <v>August</v>
      </c>
      <c r="AB432">
        <f t="shared" si="54"/>
        <v>2024</v>
      </c>
      <c r="AC432" t="str">
        <f t="shared" si="55"/>
        <v>Warning</v>
      </c>
    </row>
    <row r="433" spans="1:29">
      <c r="A433" t="s">
        <v>1393</v>
      </c>
      <c r="B433" s="2">
        <v>45332</v>
      </c>
      <c r="C433" s="2">
        <v>45335</v>
      </c>
      <c r="D433" s="3">
        <f t="shared" si="48"/>
        <v>3</v>
      </c>
      <c r="E433" t="s">
        <v>1394</v>
      </c>
      <c r="F433" t="s">
        <v>23</v>
      </c>
      <c r="G433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274</v>
      </c>
      <c r="M433" t="s">
        <v>1395</v>
      </c>
      <c r="N433" t="s">
        <v>44</v>
      </c>
      <c r="O433">
        <v>2</v>
      </c>
      <c r="P433">
        <v>4118.45</v>
      </c>
      <c r="Q433" s="6">
        <v>0.25</v>
      </c>
      <c r="R433">
        <v>6177.67</v>
      </c>
      <c r="S433">
        <v>4520.75</v>
      </c>
      <c r="T433">
        <v>1656.92</v>
      </c>
      <c r="U433" t="s">
        <v>32</v>
      </c>
      <c r="V433" t="s">
        <v>33</v>
      </c>
      <c r="W433" s="8">
        <f t="shared" si="49"/>
        <v>0.25</v>
      </c>
      <c r="X433">
        <f t="shared" si="50"/>
        <v>6177.6749999999993</v>
      </c>
      <c r="Y433">
        <f t="shared" si="51"/>
        <v>1656.9249999999993</v>
      </c>
      <c r="Z433" s="8">
        <f t="shared" si="52"/>
        <v>0.26821174632851347</v>
      </c>
      <c r="AA433" t="str">
        <f t="shared" si="53"/>
        <v>February</v>
      </c>
      <c r="AB433">
        <f t="shared" si="54"/>
        <v>2024</v>
      </c>
      <c r="AC433" t="str">
        <f t="shared" si="55"/>
        <v>Clean</v>
      </c>
    </row>
    <row r="434" spans="1:29">
      <c r="A434" t="s">
        <v>1396</v>
      </c>
      <c r="B434" s="2">
        <v>45533</v>
      </c>
      <c r="C434" s="2">
        <v>45331</v>
      </c>
      <c r="D434" s="5">
        <f t="shared" si="48"/>
        <v>-202</v>
      </c>
      <c r="E434" t="s">
        <v>1397</v>
      </c>
      <c r="F434" t="s">
        <v>114</v>
      </c>
      <c r="G434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1398</v>
      </c>
      <c r="N434" t="s">
        <v>59</v>
      </c>
      <c r="O434">
        <v>6</v>
      </c>
      <c r="P434">
        <v>172.82</v>
      </c>
      <c r="Q434" s="6">
        <v>0.05</v>
      </c>
      <c r="R434">
        <v>985.07</v>
      </c>
      <c r="S434">
        <v>844.48</v>
      </c>
      <c r="T434">
        <v>140.59</v>
      </c>
      <c r="U434" t="s">
        <v>32</v>
      </c>
      <c r="V434" t="s">
        <v>33</v>
      </c>
      <c r="W434" s="8">
        <f t="shared" si="49"/>
        <v>0.05</v>
      </c>
      <c r="X434">
        <f t="shared" si="50"/>
        <v>985.07400000000007</v>
      </c>
      <c r="Y434">
        <f t="shared" si="51"/>
        <v>140.59400000000005</v>
      </c>
      <c r="Z434" s="8">
        <f t="shared" si="52"/>
        <v>0.14272430294576857</v>
      </c>
      <c r="AA434" t="str">
        <f t="shared" si="53"/>
        <v>August</v>
      </c>
      <c r="AB434">
        <f t="shared" si="54"/>
        <v>2024</v>
      </c>
      <c r="AC434" t="str">
        <f t="shared" si="55"/>
        <v>Warning</v>
      </c>
    </row>
    <row r="435" spans="1:29">
      <c r="A435" t="s">
        <v>1399</v>
      </c>
      <c r="B435" s="2">
        <v>45401</v>
      </c>
      <c r="C435" s="2">
        <v>45402</v>
      </c>
      <c r="D435" s="3">
        <f t="shared" si="48"/>
        <v>1</v>
      </c>
      <c r="E435" t="s">
        <v>1400</v>
      </c>
      <c r="F435" t="s">
        <v>114</v>
      </c>
      <c r="G43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1401</v>
      </c>
      <c r="N435" t="s">
        <v>31</v>
      </c>
      <c r="O435">
        <v>4</v>
      </c>
      <c r="P435">
        <v>1540.22</v>
      </c>
      <c r="Q435" s="7">
        <v>0</v>
      </c>
      <c r="R435">
        <v>6160.88</v>
      </c>
      <c r="S435">
        <v>4938.7</v>
      </c>
      <c r="T435">
        <v>1222.18</v>
      </c>
      <c r="U435" t="s">
        <v>102</v>
      </c>
      <c r="V435" t="s">
        <v>103</v>
      </c>
      <c r="W435" s="8">
        <f t="shared" si="49"/>
        <v>0</v>
      </c>
      <c r="X435">
        <f t="shared" si="50"/>
        <v>6160.88</v>
      </c>
      <c r="Y435">
        <f t="shared" si="51"/>
        <v>1222.1800000000003</v>
      </c>
      <c r="Z435" s="8">
        <f t="shared" si="52"/>
        <v>0.19837750451234243</v>
      </c>
      <c r="AA435" t="str">
        <f t="shared" si="53"/>
        <v>April</v>
      </c>
      <c r="AB435">
        <f t="shared" si="54"/>
        <v>2024</v>
      </c>
      <c r="AC435" t="str">
        <f t="shared" si="55"/>
        <v>Clean</v>
      </c>
    </row>
    <row r="436" spans="1:29">
      <c r="A436" t="s">
        <v>1402</v>
      </c>
      <c r="B436" s="2">
        <v>45758</v>
      </c>
      <c r="C436" s="2">
        <v>45762</v>
      </c>
      <c r="D436" s="3">
        <f t="shared" si="48"/>
        <v>4</v>
      </c>
      <c r="E436" t="s">
        <v>1403</v>
      </c>
      <c r="F436" t="s">
        <v>36</v>
      </c>
      <c r="G436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1404</v>
      </c>
      <c r="N436" t="s">
        <v>31</v>
      </c>
      <c r="O436">
        <v>5</v>
      </c>
      <c r="P436">
        <v>652.78</v>
      </c>
      <c r="Q436" s="7">
        <v>0</v>
      </c>
      <c r="R436">
        <v>3263.9</v>
      </c>
      <c r="S436">
        <v>2068.44</v>
      </c>
      <c r="T436">
        <v>1195.46</v>
      </c>
      <c r="U436" t="s">
        <v>32</v>
      </c>
      <c r="V436" t="s">
        <v>33</v>
      </c>
      <c r="W436" s="8">
        <f t="shared" si="49"/>
        <v>0</v>
      </c>
      <c r="X436">
        <f t="shared" si="50"/>
        <v>3263.8999999999996</v>
      </c>
      <c r="Y436">
        <f t="shared" si="51"/>
        <v>1195.4599999999996</v>
      </c>
      <c r="Z436" s="8">
        <f t="shared" si="52"/>
        <v>0.3662673488771101</v>
      </c>
      <c r="AA436" t="str">
        <f t="shared" si="53"/>
        <v>April</v>
      </c>
      <c r="AB436">
        <f t="shared" si="54"/>
        <v>2025</v>
      </c>
      <c r="AC436" t="str">
        <f t="shared" si="55"/>
        <v>Clean</v>
      </c>
    </row>
    <row r="437" spans="1:29">
      <c r="A437" t="s">
        <v>1405</v>
      </c>
      <c r="B437" s="2">
        <v>45759</v>
      </c>
      <c r="C437" s="2">
        <v>45767</v>
      </c>
      <c r="D437" s="3">
        <f t="shared" si="48"/>
        <v>8</v>
      </c>
      <c r="E437" t="s">
        <v>1406</v>
      </c>
      <c r="F437" t="s">
        <v>264</v>
      </c>
      <c r="G437" t="s">
        <v>95</v>
      </c>
      <c r="H437" t="s">
        <v>25</v>
      </c>
      <c r="I437" t="s">
        <v>350</v>
      </c>
      <c r="J437" t="s">
        <v>351</v>
      </c>
      <c r="K437" t="s">
        <v>74</v>
      </c>
      <c r="L437" t="s">
        <v>274</v>
      </c>
      <c r="M437" t="s">
        <v>1407</v>
      </c>
      <c r="N437" t="s">
        <v>59</v>
      </c>
      <c r="O437">
        <v>1</v>
      </c>
      <c r="P437">
        <v>2737.71</v>
      </c>
      <c r="Q437" s="6">
        <v>0.15</v>
      </c>
      <c r="R437">
        <v>2327.0500000000002</v>
      </c>
      <c r="S437">
        <v>1919.42</v>
      </c>
      <c r="T437">
        <v>407.63</v>
      </c>
      <c r="U437" t="s">
        <v>32</v>
      </c>
      <c r="V437" t="s">
        <v>68</v>
      </c>
      <c r="W437" s="8">
        <f t="shared" si="49"/>
        <v>0.15</v>
      </c>
      <c r="X437">
        <f t="shared" si="50"/>
        <v>2327.0535</v>
      </c>
      <c r="Y437">
        <f t="shared" si="51"/>
        <v>407.63349999999991</v>
      </c>
      <c r="Z437" s="8">
        <f t="shared" si="52"/>
        <v>0.17517152055163318</v>
      </c>
      <c r="AA437" t="str">
        <f t="shared" si="53"/>
        <v>April</v>
      </c>
      <c r="AB437">
        <f t="shared" si="54"/>
        <v>2025</v>
      </c>
      <c r="AC437" t="str">
        <f t="shared" si="55"/>
        <v>Clean</v>
      </c>
    </row>
    <row r="438" spans="1:29">
      <c r="A438" t="s">
        <v>1408</v>
      </c>
      <c r="B438" s="2">
        <v>45459</v>
      </c>
      <c r="C438" s="2">
        <v>45464</v>
      </c>
      <c r="D438" s="3">
        <f t="shared" si="48"/>
        <v>5</v>
      </c>
      <c r="E438" t="s">
        <v>1409</v>
      </c>
      <c r="F438" t="s">
        <v>79</v>
      </c>
      <c r="G438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1410</v>
      </c>
      <c r="N438" t="s">
        <v>44</v>
      </c>
      <c r="O438">
        <v>6</v>
      </c>
      <c r="P438">
        <v>1156.78</v>
      </c>
      <c r="Q438" s="6">
        <v>0.05</v>
      </c>
      <c r="R438">
        <v>6593.65</v>
      </c>
      <c r="S438">
        <v>4359.3900000000003</v>
      </c>
      <c r="T438">
        <v>2234.2600000000002</v>
      </c>
      <c r="U438" t="s">
        <v>32</v>
      </c>
      <c r="V438" t="s">
        <v>103</v>
      </c>
      <c r="W438" s="8">
        <f t="shared" si="49"/>
        <v>0.05</v>
      </c>
      <c r="X438">
        <f t="shared" si="50"/>
        <v>6593.6459999999997</v>
      </c>
      <c r="Y438">
        <f t="shared" si="51"/>
        <v>2234.2559999999994</v>
      </c>
      <c r="Z438" s="8">
        <f t="shared" si="52"/>
        <v>0.33884985636171544</v>
      </c>
      <c r="AA438" t="str">
        <f t="shared" si="53"/>
        <v>June</v>
      </c>
      <c r="AB438">
        <f t="shared" si="54"/>
        <v>2024</v>
      </c>
      <c r="AC438" t="str">
        <f t="shared" si="55"/>
        <v>Clean</v>
      </c>
    </row>
    <row r="439" spans="1:29">
      <c r="A439" t="s">
        <v>1411</v>
      </c>
      <c r="B439" s="2">
        <v>45337</v>
      </c>
      <c r="C439" s="2">
        <v>45340</v>
      </c>
      <c r="D439" s="3">
        <f t="shared" si="48"/>
        <v>3</v>
      </c>
      <c r="E439" t="s">
        <v>1412</v>
      </c>
      <c r="F439" t="s">
        <v>89</v>
      </c>
      <c r="G439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1413</v>
      </c>
      <c r="N439" t="s">
        <v>44</v>
      </c>
      <c r="O439">
        <v>8</v>
      </c>
      <c r="P439">
        <v>379.82</v>
      </c>
      <c r="Q439" s="6">
        <v>0.05</v>
      </c>
      <c r="R439">
        <v>2886.63</v>
      </c>
      <c r="S439">
        <v>1588.23</v>
      </c>
      <c r="T439">
        <v>1298.4000000000001</v>
      </c>
      <c r="U439" t="s">
        <v>155</v>
      </c>
      <c r="V439" t="s">
        <v>103</v>
      </c>
      <c r="W439" s="8">
        <f t="shared" si="49"/>
        <v>0.05</v>
      </c>
      <c r="X439">
        <f t="shared" si="50"/>
        <v>2886.6319999999996</v>
      </c>
      <c r="Y439">
        <f t="shared" si="51"/>
        <v>1298.4019999999996</v>
      </c>
      <c r="Z439" s="8">
        <f t="shared" si="52"/>
        <v>0.44979824238073984</v>
      </c>
      <c r="AA439" t="str">
        <f t="shared" si="53"/>
        <v>February</v>
      </c>
      <c r="AB439">
        <f t="shared" si="54"/>
        <v>2024</v>
      </c>
      <c r="AC439" t="str">
        <f t="shared" si="55"/>
        <v>Clean</v>
      </c>
    </row>
    <row r="440" spans="1:29">
      <c r="A440" t="s">
        <v>1414</v>
      </c>
      <c r="B440" s="2">
        <v>45784</v>
      </c>
      <c r="C440" s="2">
        <v>45782</v>
      </c>
      <c r="D440" s="5">
        <f t="shared" si="48"/>
        <v>-2</v>
      </c>
      <c r="E440" t="s">
        <v>1415</v>
      </c>
      <c r="F440" t="s">
        <v>79</v>
      </c>
      <c r="G440" t="s">
        <v>90</v>
      </c>
      <c r="H440" t="s">
        <v>38</v>
      </c>
      <c r="I440" t="s">
        <v>228</v>
      </c>
      <c r="J440" t="s">
        <v>229</v>
      </c>
      <c r="K440" t="s">
        <v>74</v>
      </c>
      <c r="L440" t="s">
        <v>171</v>
      </c>
      <c r="M440" t="s">
        <v>1416</v>
      </c>
      <c r="N440" t="s">
        <v>59</v>
      </c>
      <c r="O440">
        <v>1</v>
      </c>
      <c r="P440">
        <v>2266.4699999999998</v>
      </c>
      <c r="Q440" s="6">
        <v>0.2</v>
      </c>
      <c r="R440">
        <v>1813.18</v>
      </c>
      <c r="S440">
        <v>1363.64</v>
      </c>
      <c r="T440">
        <v>449.54</v>
      </c>
      <c r="U440" t="s">
        <v>32</v>
      </c>
      <c r="V440" t="s">
        <v>33</v>
      </c>
      <c r="W440" s="8">
        <f t="shared" si="49"/>
        <v>0.2</v>
      </c>
      <c r="X440">
        <f t="shared" si="50"/>
        <v>1813.1759999999999</v>
      </c>
      <c r="Y440">
        <f t="shared" si="51"/>
        <v>449.53599999999983</v>
      </c>
      <c r="Z440" s="8">
        <f t="shared" si="52"/>
        <v>0.24792739370033567</v>
      </c>
      <c r="AA440" t="str">
        <f t="shared" si="53"/>
        <v>May</v>
      </c>
      <c r="AB440">
        <f t="shared" si="54"/>
        <v>2025</v>
      </c>
      <c r="AC440" t="str">
        <f t="shared" si="55"/>
        <v>Warning</v>
      </c>
    </row>
    <row r="441" spans="1:29">
      <c r="A441" t="s">
        <v>1417</v>
      </c>
      <c r="B441" s="2">
        <v>45838</v>
      </c>
      <c r="C441" s="2">
        <v>45841</v>
      </c>
      <c r="D441" s="3">
        <f t="shared" si="48"/>
        <v>3</v>
      </c>
      <c r="E441" t="s">
        <v>1418</v>
      </c>
      <c r="F441" t="s">
        <v>128</v>
      </c>
      <c r="G441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1419</v>
      </c>
      <c r="N441" t="s">
        <v>44</v>
      </c>
      <c r="O441">
        <v>5</v>
      </c>
      <c r="P441">
        <v>665.25</v>
      </c>
      <c r="Q441" s="7">
        <v>0</v>
      </c>
      <c r="R441">
        <v>3326.25</v>
      </c>
      <c r="S441">
        <v>2689.36</v>
      </c>
      <c r="T441">
        <v>636.89</v>
      </c>
      <c r="U441" t="s">
        <v>102</v>
      </c>
      <c r="V441" t="s">
        <v>103</v>
      </c>
      <c r="W441" s="8">
        <f t="shared" si="49"/>
        <v>0</v>
      </c>
      <c r="X441">
        <f t="shared" si="50"/>
        <v>3326.25</v>
      </c>
      <c r="Y441">
        <f t="shared" si="51"/>
        <v>636.88999999999987</v>
      </c>
      <c r="Z441" s="8">
        <f t="shared" si="52"/>
        <v>0.19147388199924836</v>
      </c>
      <c r="AA441" t="str">
        <f t="shared" si="53"/>
        <v>June</v>
      </c>
      <c r="AB441">
        <f t="shared" si="54"/>
        <v>2025</v>
      </c>
      <c r="AC441" t="str">
        <f t="shared" si="55"/>
        <v>Clean</v>
      </c>
    </row>
    <row r="442" spans="1:29">
      <c r="A442" t="s">
        <v>1420</v>
      </c>
      <c r="B442" s="2">
        <v>45384</v>
      </c>
      <c r="C442" s="2">
        <v>45390</v>
      </c>
      <c r="D442" s="3">
        <f t="shared" si="48"/>
        <v>6</v>
      </c>
      <c r="E442" t="s">
        <v>270</v>
      </c>
      <c r="F442" t="s">
        <v>71</v>
      </c>
      <c r="G442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274</v>
      </c>
      <c r="M442" t="s">
        <v>1421</v>
      </c>
      <c r="N442" t="s">
        <v>31</v>
      </c>
      <c r="O442">
        <v>6</v>
      </c>
      <c r="P442">
        <v>3722.84</v>
      </c>
      <c r="Q442" s="6">
        <v>0.2</v>
      </c>
      <c r="R442">
        <v>17869.63</v>
      </c>
      <c r="S442">
        <v>12163.8</v>
      </c>
      <c r="T442">
        <v>5705.83</v>
      </c>
      <c r="U442" t="s">
        <v>32</v>
      </c>
      <c r="V442" t="s">
        <v>33</v>
      </c>
      <c r="W442" s="8">
        <f t="shared" si="49"/>
        <v>0.2</v>
      </c>
      <c r="X442">
        <f t="shared" si="50"/>
        <v>17869.632000000001</v>
      </c>
      <c r="Y442">
        <f t="shared" si="51"/>
        <v>5705.8320000000022</v>
      </c>
      <c r="Z442" s="8">
        <f t="shared" si="52"/>
        <v>0.31930327384469931</v>
      </c>
      <c r="AA442" t="str">
        <f t="shared" si="53"/>
        <v>April</v>
      </c>
      <c r="AB442">
        <f t="shared" si="54"/>
        <v>2024</v>
      </c>
      <c r="AC442" t="str">
        <f t="shared" si="55"/>
        <v>Clean</v>
      </c>
    </row>
    <row r="443" spans="1:29">
      <c r="A443" t="s">
        <v>1422</v>
      </c>
      <c r="B443" s="2">
        <v>45361</v>
      </c>
      <c r="C443" s="2">
        <v>45568</v>
      </c>
      <c r="D443" s="3">
        <f t="shared" si="48"/>
        <v>207</v>
      </c>
      <c r="E443" t="s">
        <v>1423</v>
      </c>
      <c r="F443" t="s">
        <v>23</v>
      </c>
      <c r="G443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1424</v>
      </c>
      <c r="N443" t="s">
        <v>59</v>
      </c>
      <c r="O443">
        <v>6</v>
      </c>
      <c r="P443">
        <v>4217.49</v>
      </c>
      <c r="Q443" s="7">
        <v>0</v>
      </c>
      <c r="R443">
        <v>25304.94</v>
      </c>
      <c r="S443">
        <v>20771.95</v>
      </c>
      <c r="T443">
        <v>4532.99</v>
      </c>
      <c r="U443" t="s">
        <v>32</v>
      </c>
      <c r="V443" t="s">
        <v>68</v>
      </c>
      <c r="W443" s="8">
        <f t="shared" si="49"/>
        <v>0</v>
      </c>
      <c r="X443">
        <f t="shared" si="50"/>
        <v>25304.94</v>
      </c>
      <c r="Y443">
        <f t="shared" si="51"/>
        <v>4532.989999999998</v>
      </c>
      <c r="Z443" s="8">
        <f t="shared" si="52"/>
        <v>0.17913458795002077</v>
      </c>
      <c r="AA443" t="str">
        <f t="shared" si="53"/>
        <v>March</v>
      </c>
      <c r="AB443">
        <f t="shared" si="54"/>
        <v>2024</v>
      </c>
      <c r="AC443" t="str">
        <f t="shared" si="55"/>
        <v>Clean</v>
      </c>
    </row>
    <row r="444" spans="1:29">
      <c r="A444" t="s">
        <v>1425</v>
      </c>
      <c r="B444" s="2">
        <v>45669</v>
      </c>
      <c r="C444" s="2">
        <v>45676</v>
      </c>
      <c r="D444" s="3">
        <f t="shared" si="48"/>
        <v>7</v>
      </c>
      <c r="E444" t="s">
        <v>1426</v>
      </c>
      <c r="F444" t="s">
        <v>128</v>
      </c>
      <c r="G444" t="s">
        <v>24</v>
      </c>
      <c r="H444" t="s">
        <v>38</v>
      </c>
      <c r="I444" t="s">
        <v>228</v>
      </c>
      <c r="J444" t="s">
        <v>229</v>
      </c>
      <c r="K444" t="s">
        <v>41</v>
      </c>
      <c r="L444" t="s">
        <v>42</v>
      </c>
      <c r="M444" t="s">
        <v>1427</v>
      </c>
      <c r="N444" t="s">
        <v>50</v>
      </c>
      <c r="O444">
        <v>1</v>
      </c>
      <c r="P444">
        <v>1842.31</v>
      </c>
      <c r="Q444" s="7">
        <v>0</v>
      </c>
      <c r="R444">
        <v>1842.31</v>
      </c>
      <c r="S444">
        <v>1019.17</v>
      </c>
      <c r="T444">
        <v>823.14</v>
      </c>
      <c r="U444" t="s">
        <v>32</v>
      </c>
      <c r="V444" t="s">
        <v>33</v>
      </c>
      <c r="W444" s="8">
        <f t="shared" si="49"/>
        <v>0</v>
      </c>
      <c r="X444">
        <f t="shared" si="50"/>
        <v>1842.31</v>
      </c>
      <c r="Y444">
        <f t="shared" si="51"/>
        <v>823.14</v>
      </c>
      <c r="Z444" s="8">
        <f t="shared" si="52"/>
        <v>0.44679777019068451</v>
      </c>
      <c r="AA444" t="str">
        <f t="shared" si="53"/>
        <v>January</v>
      </c>
      <c r="AB444">
        <f t="shared" si="54"/>
        <v>2025</v>
      </c>
      <c r="AC444" t="str">
        <f t="shared" si="55"/>
        <v>Clean</v>
      </c>
    </row>
    <row r="445" spans="1:29">
      <c r="A445" t="s">
        <v>1428</v>
      </c>
      <c r="B445" s="2">
        <v>45386</v>
      </c>
      <c r="C445" s="2">
        <v>45389</v>
      </c>
      <c r="D445" s="3">
        <f t="shared" si="48"/>
        <v>3</v>
      </c>
      <c r="E445" t="s">
        <v>1429</v>
      </c>
      <c r="F445" t="s">
        <v>141</v>
      </c>
      <c r="G44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1430</v>
      </c>
      <c r="N445" t="s">
        <v>50</v>
      </c>
      <c r="O445">
        <v>1</v>
      </c>
      <c r="P445">
        <v>3683.75</v>
      </c>
      <c r="Q445" s="6">
        <v>0.1</v>
      </c>
      <c r="R445">
        <v>3315.38</v>
      </c>
      <c r="S445">
        <v>2347.6799999999998</v>
      </c>
      <c r="T445">
        <v>967.7</v>
      </c>
      <c r="U445" t="s">
        <v>32</v>
      </c>
      <c r="V445" t="s">
        <v>33</v>
      </c>
      <c r="W445" s="8">
        <f t="shared" si="49"/>
        <v>0.1</v>
      </c>
      <c r="X445">
        <f t="shared" si="50"/>
        <v>3315.375</v>
      </c>
      <c r="Y445">
        <f t="shared" si="51"/>
        <v>967.69500000000016</v>
      </c>
      <c r="Z445" s="8">
        <f t="shared" si="52"/>
        <v>0.29188100893564084</v>
      </c>
      <c r="AA445" t="str">
        <f t="shared" si="53"/>
        <v>April</v>
      </c>
      <c r="AB445">
        <f t="shared" si="54"/>
        <v>2024</v>
      </c>
      <c r="AC445" t="str">
        <f t="shared" si="55"/>
        <v>Clean</v>
      </c>
    </row>
    <row r="446" spans="1:29">
      <c r="A446" t="s">
        <v>1431</v>
      </c>
      <c r="B446" s="2">
        <v>45881</v>
      </c>
      <c r="C446" s="2">
        <v>45885</v>
      </c>
      <c r="D446" s="3">
        <f t="shared" si="48"/>
        <v>4</v>
      </c>
      <c r="E446" t="s">
        <v>1432</v>
      </c>
      <c r="F446" t="s">
        <v>62</v>
      </c>
      <c r="G446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1433</v>
      </c>
      <c r="N446" t="s">
        <v>44</v>
      </c>
      <c r="O446">
        <v>9</v>
      </c>
      <c r="P446">
        <v>2379.2399999999998</v>
      </c>
      <c r="Q446" s="6">
        <v>0.05</v>
      </c>
      <c r="R446">
        <v>20342.5</v>
      </c>
      <c r="S446">
        <v>12407.51</v>
      </c>
      <c r="T446">
        <v>7934.99</v>
      </c>
      <c r="U446" t="s">
        <v>32</v>
      </c>
      <c r="V446" t="s">
        <v>33</v>
      </c>
      <c r="W446" s="8">
        <f t="shared" si="49"/>
        <v>0.05</v>
      </c>
      <c r="X446">
        <f t="shared" si="50"/>
        <v>20342.501999999997</v>
      </c>
      <c r="Y446">
        <f t="shared" si="51"/>
        <v>7934.9919999999966</v>
      </c>
      <c r="Z446" s="8">
        <f t="shared" si="52"/>
        <v>0.39006961877157481</v>
      </c>
      <c r="AA446" t="str">
        <f t="shared" si="53"/>
        <v>August</v>
      </c>
      <c r="AB446">
        <f t="shared" si="54"/>
        <v>2025</v>
      </c>
      <c r="AC446" t="str">
        <f t="shared" si="55"/>
        <v>Clean</v>
      </c>
    </row>
    <row r="447" spans="1:29">
      <c r="A447" t="s">
        <v>1434</v>
      </c>
      <c r="B447" s="2">
        <v>45421</v>
      </c>
      <c r="C447" s="2">
        <v>45417</v>
      </c>
      <c r="D447" s="5">
        <f t="shared" si="48"/>
        <v>-4</v>
      </c>
      <c r="E447" t="s">
        <v>1435</v>
      </c>
      <c r="F447" t="s">
        <v>53</v>
      </c>
      <c r="G447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1436</v>
      </c>
      <c r="N447" t="s">
        <v>44</v>
      </c>
      <c r="O447">
        <v>2</v>
      </c>
      <c r="P447">
        <v>2111.23</v>
      </c>
      <c r="Q447" s="6">
        <v>0.2</v>
      </c>
      <c r="R447">
        <v>3377.97</v>
      </c>
      <c r="S447">
        <v>2496.29</v>
      </c>
      <c r="T447">
        <v>881.68</v>
      </c>
      <c r="U447" t="s">
        <v>32</v>
      </c>
      <c r="V447" t="s">
        <v>33</v>
      </c>
      <c r="W447" s="8">
        <f t="shared" si="49"/>
        <v>0.2</v>
      </c>
      <c r="X447">
        <f t="shared" si="50"/>
        <v>3377.9680000000003</v>
      </c>
      <c r="Y447">
        <f t="shared" si="51"/>
        <v>881.67800000000034</v>
      </c>
      <c r="Z447" s="8">
        <f t="shared" si="52"/>
        <v>0.26100839321154029</v>
      </c>
      <c r="AA447" t="str">
        <f t="shared" si="53"/>
        <v>May</v>
      </c>
      <c r="AB447">
        <f t="shared" si="54"/>
        <v>2024</v>
      </c>
      <c r="AC447" t="str">
        <f t="shared" si="55"/>
        <v>Warning</v>
      </c>
    </row>
    <row r="448" spans="1:29">
      <c r="A448" t="s">
        <v>1437</v>
      </c>
      <c r="B448" s="2">
        <v>45918</v>
      </c>
      <c r="C448" s="2">
        <v>45919</v>
      </c>
      <c r="D448" s="3">
        <f t="shared" si="48"/>
        <v>1</v>
      </c>
      <c r="E448" t="s">
        <v>1438</v>
      </c>
      <c r="F448" t="s">
        <v>132</v>
      </c>
      <c r="G448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1439</v>
      </c>
      <c r="N448" t="s">
        <v>44</v>
      </c>
      <c r="O448">
        <v>8</v>
      </c>
      <c r="P448">
        <v>4242.51</v>
      </c>
      <c r="Q448" s="7">
        <v>0</v>
      </c>
      <c r="R448">
        <v>33940.080000000002</v>
      </c>
      <c r="S448">
        <v>23754.19</v>
      </c>
      <c r="T448">
        <v>10185.89</v>
      </c>
      <c r="U448" t="s">
        <v>32</v>
      </c>
      <c r="V448" t="s">
        <v>33</v>
      </c>
      <c r="W448" s="8">
        <f t="shared" si="49"/>
        <v>0</v>
      </c>
      <c r="X448">
        <f t="shared" si="50"/>
        <v>33940.080000000002</v>
      </c>
      <c r="Y448">
        <f t="shared" si="51"/>
        <v>10185.890000000003</v>
      </c>
      <c r="Z448" s="8">
        <f t="shared" si="52"/>
        <v>0.30011390662603044</v>
      </c>
      <c r="AA448" t="str">
        <f t="shared" si="53"/>
        <v>September</v>
      </c>
      <c r="AB448">
        <f t="shared" si="54"/>
        <v>2025</v>
      </c>
      <c r="AC448" t="str">
        <f t="shared" si="55"/>
        <v>Clean</v>
      </c>
    </row>
    <row r="449" spans="1:29">
      <c r="A449" t="s">
        <v>1440</v>
      </c>
      <c r="B449" s="2">
        <v>45938</v>
      </c>
      <c r="C449" s="2">
        <v>45879</v>
      </c>
      <c r="D449" s="5">
        <f t="shared" si="48"/>
        <v>-59</v>
      </c>
      <c r="E449" t="s">
        <v>1441</v>
      </c>
      <c r="F449" t="s">
        <v>141</v>
      </c>
      <c r="G449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1442</v>
      </c>
      <c r="N449" t="s">
        <v>59</v>
      </c>
      <c r="O449">
        <v>6</v>
      </c>
      <c r="P449">
        <v>4288.7</v>
      </c>
      <c r="Q449" s="6">
        <v>0.15</v>
      </c>
      <c r="R449">
        <v>21872.37</v>
      </c>
      <c r="S449">
        <v>13829.5</v>
      </c>
      <c r="T449">
        <v>8042.87</v>
      </c>
      <c r="U449" t="s">
        <v>111</v>
      </c>
      <c r="V449" t="s">
        <v>103</v>
      </c>
      <c r="W449" s="8">
        <f t="shared" si="49"/>
        <v>0.15</v>
      </c>
      <c r="X449">
        <f t="shared" si="50"/>
        <v>21872.369999999995</v>
      </c>
      <c r="Y449">
        <f t="shared" si="51"/>
        <v>8042.8699999999953</v>
      </c>
      <c r="Z449" s="8">
        <f t="shared" si="52"/>
        <v>0.36771826738483288</v>
      </c>
      <c r="AA449" t="str">
        <f t="shared" si="53"/>
        <v>October</v>
      </c>
      <c r="AB449">
        <f t="shared" si="54"/>
        <v>2025</v>
      </c>
      <c r="AC449" t="str">
        <f t="shared" si="55"/>
        <v>Warning</v>
      </c>
    </row>
    <row r="450" spans="1:29">
      <c r="A450" t="s">
        <v>1443</v>
      </c>
      <c r="B450" s="2">
        <v>45306</v>
      </c>
      <c r="C450" s="2">
        <v>45309</v>
      </c>
      <c r="D450" s="3">
        <f t="shared" ref="D450:D513" si="56">C450-B450</f>
        <v>3</v>
      </c>
      <c r="E450" t="s">
        <v>1444</v>
      </c>
      <c r="F450" t="s">
        <v>36</v>
      </c>
      <c r="G450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1445</v>
      </c>
      <c r="N450" t="s">
        <v>50</v>
      </c>
      <c r="O450">
        <v>2</v>
      </c>
      <c r="P450">
        <v>201.21</v>
      </c>
      <c r="Q450" s="6">
        <v>0.15</v>
      </c>
      <c r="R450">
        <v>342.06</v>
      </c>
      <c r="S450">
        <v>244.57</v>
      </c>
      <c r="T450">
        <v>97.49</v>
      </c>
      <c r="U450" t="s">
        <v>32</v>
      </c>
      <c r="V450" t="s">
        <v>33</v>
      </c>
      <c r="W450" s="8">
        <f t="shared" si="49"/>
        <v>0.15</v>
      </c>
      <c r="X450">
        <f t="shared" si="50"/>
        <v>342.05700000000002</v>
      </c>
      <c r="Y450">
        <f t="shared" si="51"/>
        <v>97.487000000000023</v>
      </c>
      <c r="Z450" s="8">
        <f t="shared" si="52"/>
        <v>0.28500220723446684</v>
      </c>
      <c r="AA450" t="str">
        <f t="shared" si="53"/>
        <v>January</v>
      </c>
      <c r="AB450">
        <f t="shared" si="54"/>
        <v>2024</v>
      </c>
      <c r="AC450" t="str">
        <f t="shared" si="55"/>
        <v>Clean</v>
      </c>
    </row>
    <row r="451" spans="1:29">
      <c r="A451" t="s">
        <v>1446</v>
      </c>
      <c r="B451" s="2">
        <v>45449</v>
      </c>
      <c r="C451" s="2">
        <v>45456</v>
      </c>
      <c r="D451" s="3">
        <f t="shared" si="56"/>
        <v>7</v>
      </c>
      <c r="E451" t="s">
        <v>1340</v>
      </c>
      <c r="F451" t="s">
        <v>89</v>
      </c>
      <c r="G451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274</v>
      </c>
      <c r="M451" t="s">
        <v>1447</v>
      </c>
      <c r="N451" t="s">
        <v>31</v>
      </c>
      <c r="O451">
        <v>6</v>
      </c>
      <c r="P451">
        <v>3270.36</v>
      </c>
      <c r="Q451" s="7">
        <v>0</v>
      </c>
      <c r="R451">
        <v>19622.16</v>
      </c>
      <c r="S451">
        <v>14271.27</v>
      </c>
      <c r="T451">
        <v>5350.89</v>
      </c>
      <c r="U451" t="s">
        <v>32</v>
      </c>
      <c r="V451" t="s">
        <v>33</v>
      </c>
      <c r="W451" s="8">
        <f t="shared" ref="W451:W514" si="57">Q451</f>
        <v>0</v>
      </c>
      <c r="X451">
        <f t="shared" ref="X451:X514" si="58">O451*P451*(1-W451)</f>
        <v>19622.16</v>
      </c>
      <c r="Y451">
        <f t="shared" ref="Y451:Y514" si="59">X451-S451</f>
        <v>5350.8899999999994</v>
      </c>
      <c r="Z451" s="8">
        <f t="shared" ref="Z451:Z514" si="60">IF(X451=0,0,Y451/X451)</f>
        <v>0.27269627808559299</v>
      </c>
      <c r="AA451" t="str">
        <f t="shared" ref="AA451:AA514" si="61">TEXT(B451,"mmmm")</f>
        <v>June</v>
      </c>
      <c r="AB451">
        <f t="shared" ref="AB451:AB514" si="62">YEAR(B451)</f>
        <v>2024</v>
      </c>
      <c r="AC451" t="str">
        <f t="shared" ref="AC451:AC514" si="63">IF(Q451&lt;0,"Invalid",IF(D451&lt;0,"Warning","Clean"))</f>
        <v>Clean</v>
      </c>
    </row>
    <row r="452" spans="1:29">
      <c r="A452" t="s">
        <v>1448</v>
      </c>
      <c r="B452" s="2">
        <v>45820</v>
      </c>
      <c r="C452" s="2">
        <v>45827</v>
      </c>
      <c r="D452" s="3">
        <f t="shared" si="56"/>
        <v>7</v>
      </c>
      <c r="E452" t="s">
        <v>1449</v>
      </c>
      <c r="F452" t="s">
        <v>62</v>
      </c>
      <c r="G452" t="s">
        <v>90</v>
      </c>
      <c r="H452" t="s">
        <v>25</v>
      </c>
      <c r="I452" t="s">
        <v>350</v>
      </c>
      <c r="J452" t="s">
        <v>351</v>
      </c>
      <c r="K452" t="s">
        <v>41</v>
      </c>
      <c r="L452" t="s">
        <v>66</v>
      </c>
      <c r="M452" t="s">
        <v>1450</v>
      </c>
      <c r="N452" t="s">
        <v>59</v>
      </c>
      <c r="O452">
        <v>9</v>
      </c>
      <c r="P452">
        <v>2278.5700000000002</v>
      </c>
      <c r="Q452" s="6">
        <v>0.25</v>
      </c>
      <c r="R452">
        <v>15380.35</v>
      </c>
      <c r="S452">
        <v>9907.3700000000008</v>
      </c>
      <c r="T452">
        <v>5472.98</v>
      </c>
      <c r="U452" t="s">
        <v>32</v>
      </c>
      <c r="V452" t="s">
        <v>33</v>
      </c>
      <c r="W452" s="8">
        <f t="shared" si="57"/>
        <v>0.25</v>
      </c>
      <c r="X452">
        <f t="shared" si="58"/>
        <v>15380.3475</v>
      </c>
      <c r="Y452">
        <f t="shared" si="59"/>
        <v>5472.9774999999991</v>
      </c>
      <c r="Z452" s="8">
        <f t="shared" si="60"/>
        <v>0.35584225258889624</v>
      </c>
      <c r="AA452" t="str">
        <f t="shared" si="61"/>
        <v>June</v>
      </c>
      <c r="AB452">
        <f t="shared" si="62"/>
        <v>2025</v>
      </c>
      <c r="AC452" t="str">
        <f t="shared" si="63"/>
        <v>Clean</v>
      </c>
    </row>
    <row r="453" spans="1:29">
      <c r="A453" t="s">
        <v>1451</v>
      </c>
      <c r="B453" s="2">
        <v>45375</v>
      </c>
      <c r="C453" s="2">
        <v>45377</v>
      </c>
      <c r="D453" s="3">
        <f t="shared" si="56"/>
        <v>2</v>
      </c>
      <c r="E453" t="s">
        <v>1452</v>
      </c>
      <c r="F453" t="s">
        <v>141</v>
      </c>
      <c r="G453" t="s">
        <v>37</v>
      </c>
      <c r="H453" t="s">
        <v>25</v>
      </c>
      <c r="I453" t="s">
        <v>236</v>
      </c>
      <c r="J453" t="s">
        <v>237</v>
      </c>
      <c r="K453" t="s">
        <v>28</v>
      </c>
      <c r="L453" t="s">
        <v>29</v>
      </c>
      <c r="M453" t="s">
        <v>1453</v>
      </c>
      <c r="N453" t="s">
        <v>31</v>
      </c>
      <c r="O453">
        <v>8</v>
      </c>
      <c r="P453">
        <v>1917.64</v>
      </c>
      <c r="Q453" s="6">
        <v>0.15</v>
      </c>
      <c r="R453">
        <v>13039.95</v>
      </c>
      <c r="S453">
        <v>11127.82</v>
      </c>
      <c r="T453">
        <v>1912.13</v>
      </c>
      <c r="U453" t="s">
        <v>32</v>
      </c>
      <c r="V453" t="s">
        <v>68</v>
      </c>
      <c r="W453" s="8">
        <f t="shared" si="57"/>
        <v>0.15</v>
      </c>
      <c r="X453">
        <f t="shared" si="58"/>
        <v>13039.952000000001</v>
      </c>
      <c r="Y453">
        <f t="shared" si="59"/>
        <v>1912.1320000000014</v>
      </c>
      <c r="Z453" s="8">
        <f t="shared" si="60"/>
        <v>0.1466364293365498</v>
      </c>
      <c r="AA453" t="str">
        <f t="shared" si="61"/>
        <v>March</v>
      </c>
      <c r="AB453">
        <f t="shared" si="62"/>
        <v>2024</v>
      </c>
      <c r="AC453" t="str">
        <f t="shared" si="63"/>
        <v>Clean</v>
      </c>
    </row>
    <row r="454" spans="1:29">
      <c r="A454" t="s">
        <v>1454</v>
      </c>
      <c r="B454" s="2">
        <v>45570</v>
      </c>
      <c r="C454" s="2">
        <v>45428</v>
      </c>
      <c r="D454" s="5">
        <f t="shared" si="56"/>
        <v>-142</v>
      </c>
      <c r="E454" t="s">
        <v>1455</v>
      </c>
      <c r="F454" t="s">
        <v>162</v>
      </c>
      <c r="G454" t="s">
        <v>95</v>
      </c>
      <c r="H454" t="s">
        <v>38</v>
      </c>
      <c r="I454" t="s">
        <v>228</v>
      </c>
      <c r="J454" t="s">
        <v>229</v>
      </c>
      <c r="K454" t="s">
        <v>74</v>
      </c>
      <c r="L454" t="s">
        <v>75</v>
      </c>
      <c r="M454" t="s">
        <v>1456</v>
      </c>
      <c r="N454" t="s">
        <v>31</v>
      </c>
      <c r="O454">
        <v>6</v>
      </c>
      <c r="P454">
        <v>2013.33</v>
      </c>
      <c r="Q454" s="6">
        <v>0.2</v>
      </c>
      <c r="R454">
        <v>9663.98</v>
      </c>
      <c r="S454">
        <v>5628.93</v>
      </c>
      <c r="T454">
        <v>4035.05</v>
      </c>
      <c r="U454" t="s">
        <v>32</v>
      </c>
      <c r="V454" t="s">
        <v>33</v>
      </c>
      <c r="W454" s="8">
        <f t="shared" si="57"/>
        <v>0.2</v>
      </c>
      <c r="X454">
        <f t="shared" si="58"/>
        <v>9663.9840000000004</v>
      </c>
      <c r="Y454">
        <f t="shared" si="59"/>
        <v>4035.0540000000001</v>
      </c>
      <c r="Z454" s="8">
        <f t="shared" si="60"/>
        <v>0.41753525254180884</v>
      </c>
      <c r="AA454" t="str">
        <f t="shared" si="61"/>
        <v>October</v>
      </c>
      <c r="AB454">
        <f t="shared" si="62"/>
        <v>2024</v>
      </c>
      <c r="AC454" t="str">
        <f t="shared" si="63"/>
        <v>Warning</v>
      </c>
    </row>
    <row r="455" spans="1:29">
      <c r="A455" t="s">
        <v>1457</v>
      </c>
      <c r="B455" s="2">
        <v>45780</v>
      </c>
      <c r="C455" s="2">
        <v>45788</v>
      </c>
      <c r="D455" s="3">
        <f t="shared" si="56"/>
        <v>8</v>
      </c>
      <c r="E455" t="s">
        <v>1458</v>
      </c>
      <c r="F455" t="s">
        <v>141</v>
      </c>
      <c r="G45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1459</v>
      </c>
      <c r="N455" t="s">
        <v>44</v>
      </c>
      <c r="O455">
        <v>5</v>
      </c>
      <c r="P455">
        <v>1483.52</v>
      </c>
      <c r="Q455" s="7">
        <v>0</v>
      </c>
      <c r="R455">
        <v>7417.6</v>
      </c>
      <c r="S455">
        <v>4955.8599999999997</v>
      </c>
      <c r="T455">
        <v>2461.7399999999998</v>
      </c>
      <c r="U455" t="s">
        <v>32</v>
      </c>
      <c r="V455" t="s">
        <v>33</v>
      </c>
      <c r="W455" s="8">
        <f t="shared" si="57"/>
        <v>0</v>
      </c>
      <c r="X455">
        <f t="shared" si="58"/>
        <v>7417.6</v>
      </c>
      <c r="Y455">
        <f t="shared" si="59"/>
        <v>2461.7400000000007</v>
      </c>
      <c r="Z455" s="8">
        <f t="shared" si="60"/>
        <v>0.3318782355478862</v>
      </c>
      <c r="AA455" t="str">
        <f t="shared" si="61"/>
        <v>May</v>
      </c>
      <c r="AB455">
        <f t="shared" si="62"/>
        <v>2025</v>
      </c>
      <c r="AC455" t="str">
        <f t="shared" si="63"/>
        <v>Clean</v>
      </c>
    </row>
    <row r="456" spans="1:29">
      <c r="A456" t="s">
        <v>1460</v>
      </c>
      <c r="B456" s="2">
        <v>45739</v>
      </c>
      <c r="C456" s="2">
        <v>45744</v>
      </c>
      <c r="D456" s="3">
        <f t="shared" si="56"/>
        <v>5</v>
      </c>
      <c r="E456" t="s">
        <v>1461</v>
      </c>
      <c r="F456" t="s">
        <v>71</v>
      </c>
      <c r="G456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1462</v>
      </c>
      <c r="N456" t="s">
        <v>59</v>
      </c>
      <c r="O456">
        <v>9</v>
      </c>
      <c r="P456">
        <v>3298</v>
      </c>
      <c r="Q456" s="6">
        <v>0.15</v>
      </c>
      <c r="R456">
        <v>25229.7</v>
      </c>
      <c r="S456">
        <v>20170.43</v>
      </c>
      <c r="T456">
        <v>5059.2700000000004</v>
      </c>
      <c r="U456" t="s">
        <v>32</v>
      </c>
      <c r="V456" t="s">
        <v>33</v>
      </c>
      <c r="W456" s="8">
        <f t="shared" si="57"/>
        <v>0.15</v>
      </c>
      <c r="X456">
        <f t="shared" si="58"/>
        <v>25229.7</v>
      </c>
      <c r="Y456">
        <f t="shared" si="59"/>
        <v>5059.2700000000004</v>
      </c>
      <c r="Z456" s="8">
        <f t="shared" si="60"/>
        <v>0.20052834556098567</v>
      </c>
      <c r="AA456" t="str">
        <f t="shared" si="61"/>
        <v>March</v>
      </c>
      <c r="AB456">
        <f t="shared" si="62"/>
        <v>2025</v>
      </c>
      <c r="AC456" t="str">
        <f t="shared" si="63"/>
        <v>Clean</v>
      </c>
    </row>
    <row r="457" spans="1:29">
      <c r="A457" t="s">
        <v>1463</v>
      </c>
      <c r="B457" s="2">
        <v>45491</v>
      </c>
      <c r="C457" s="2">
        <v>45495</v>
      </c>
      <c r="D457" s="3">
        <f t="shared" si="56"/>
        <v>4</v>
      </c>
      <c r="E457" t="s">
        <v>1464</v>
      </c>
      <c r="F457" t="s">
        <v>79</v>
      </c>
      <c r="G457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1465</v>
      </c>
      <c r="N457" t="s">
        <v>59</v>
      </c>
      <c r="O457">
        <v>4</v>
      </c>
      <c r="P457">
        <v>808.77</v>
      </c>
      <c r="Q457" s="7">
        <v>0</v>
      </c>
      <c r="R457">
        <v>3235.08</v>
      </c>
      <c r="S457">
        <v>1848.6</v>
      </c>
      <c r="T457">
        <v>1386.48</v>
      </c>
      <c r="U457" t="s">
        <v>32</v>
      </c>
      <c r="V457" t="s">
        <v>33</v>
      </c>
      <c r="W457" s="8">
        <f t="shared" si="57"/>
        <v>0</v>
      </c>
      <c r="X457">
        <f t="shared" si="58"/>
        <v>3235.08</v>
      </c>
      <c r="Y457">
        <f t="shared" si="59"/>
        <v>1386.48</v>
      </c>
      <c r="Z457" s="8">
        <f t="shared" si="60"/>
        <v>0.42857672762342819</v>
      </c>
      <c r="AA457" t="str">
        <f t="shared" si="61"/>
        <v>July</v>
      </c>
      <c r="AB457">
        <f t="shared" si="62"/>
        <v>2024</v>
      </c>
      <c r="AC457" t="str">
        <f t="shared" si="63"/>
        <v>Clean</v>
      </c>
    </row>
    <row r="458" spans="1:29">
      <c r="A458" t="s">
        <v>1466</v>
      </c>
      <c r="B458" s="2">
        <v>45342</v>
      </c>
      <c r="C458" s="2">
        <v>45342</v>
      </c>
      <c r="D458" s="3">
        <f t="shared" si="56"/>
        <v>0</v>
      </c>
      <c r="E458" t="s">
        <v>1467</v>
      </c>
      <c r="F458" t="s">
        <v>79</v>
      </c>
      <c r="G458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1468</v>
      </c>
      <c r="N458" t="s">
        <v>44</v>
      </c>
      <c r="O458">
        <v>5</v>
      </c>
      <c r="P458">
        <v>2604.91</v>
      </c>
      <c r="Q458" s="6">
        <v>0.15</v>
      </c>
      <c r="R458">
        <v>11070.87</v>
      </c>
      <c r="S458">
        <v>6623.61</v>
      </c>
      <c r="T458">
        <v>4447.26</v>
      </c>
      <c r="U458" t="s">
        <v>32</v>
      </c>
      <c r="V458" t="s">
        <v>103</v>
      </c>
      <c r="W458" s="8">
        <f t="shared" si="57"/>
        <v>0.15</v>
      </c>
      <c r="X458">
        <f t="shared" si="58"/>
        <v>11070.867499999998</v>
      </c>
      <c r="Y458">
        <f t="shared" si="59"/>
        <v>4447.2574999999988</v>
      </c>
      <c r="Z458" s="8">
        <f t="shared" si="60"/>
        <v>0.40170813172499803</v>
      </c>
      <c r="AA458" t="str">
        <f t="shared" si="61"/>
        <v>February</v>
      </c>
      <c r="AB458">
        <f t="shared" si="62"/>
        <v>2024</v>
      </c>
      <c r="AC458" t="str">
        <f t="shared" si="63"/>
        <v>Clean</v>
      </c>
    </row>
    <row r="459" spans="1:29">
      <c r="A459" t="s">
        <v>1469</v>
      </c>
      <c r="B459" s="2">
        <v>45416</v>
      </c>
      <c r="C459" s="2">
        <v>45416</v>
      </c>
      <c r="D459" s="3">
        <f t="shared" si="56"/>
        <v>0</v>
      </c>
      <c r="E459" t="s">
        <v>1470</v>
      </c>
      <c r="F459" t="s">
        <v>36</v>
      </c>
      <c r="G459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1471</v>
      </c>
      <c r="N459" t="s">
        <v>59</v>
      </c>
      <c r="O459">
        <v>7</v>
      </c>
      <c r="P459">
        <v>2851.51</v>
      </c>
      <c r="Q459" s="7">
        <v>0</v>
      </c>
      <c r="R459">
        <v>19960.57</v>
      </c>
      <c r="S459">
        <v>16603.599999999999</v>
      </c>
      <c r="T459">
        <v>3356.97</v>
      </c>
      <c r="U459" t="s">
        <v>32</v>
      </c>
      <c r="V459" t="s">
        <v>33</v>
      </c>
      <c r="W459" s="8">
        <f t="shared" si="57"/>
        <v>0</v>
      </c>
      <c r="X459">
        <f t="shared" si="58"/>
        <v>19960.57</v>
      </c>
      <c r="Y459">
        <f t="shared" si="59"/>
        <v>3356.9700000000012</v>
      </c>
      <c r="Z459" s="8">
        <f t="shared" si="60"/>
        <v>0.1681800670020947</v>
      </c>
      <c r="AA459" t="str">
        <f t="shared" si="61"/>
        <v>May</v>
      </c>
      <c r="AB459">
        <f t="shared" si="62"/>
        <v>2024</v>
      </c>
      <c r="AC459" t="str">
        <f t="shared" si="63"/>
        <v>Clean</v>
      </c>
    </row>
    <row r="460" spans="1:29">
      <c r="A460" t="s">
        <v>1472</v>
      </c>
      <c r="B460" s="2">
        <v>45332</v>
      </c>
      <c r="C460" s="2">
        <v>45333</v>
      </c>
      <c r="D460" s="3">
        <f t="shared" si="56"/>
        <v>1</v>
      </c>
      <c r="E460" t="s">
        <v>1473</v>
      </c>
      <c r="F460" t="s">
        <v>23</v>
      </c>
      <c r="G460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1474</v>
      </c>
      <c r="N460" t="s">
        <v>31</v>
      </c>
      <c r="O460">
        <v>3</v>
      </c>
      <c r="P460">
        <v>3183.72</v>
      </c>
      <c r="Q460" s="6">
        <v>0.1</v>
      </c>
      <c r="R460">
        <v>8596.0400000000009</v>
      </c>
      <c r="S460">
        <v>5378.16</v>
      </c>
      <c r="T460">
        <v>3217.88</v>
      </c>
      <c r="U460" t="s">
        <v>32</v>
      </c>
      <c r="V460" t="s">
        <v>33</v>
      </c>
      <c r="W460" s="8">
        <f t="shared" si="57"/>
        <v>0.1</v>
      </c>
      <c r="X460">
        <f t="shared" si="58"/>
        <v>8596.0439999999999</v>
      </c>
      <c r="Y460">
        <f t="shared" si="59"/>
        <v>3217.884</v>
      </c>
      <c r="Z460" s="8">
        <f t="shared" si="60"/>
        <v>0.37434475672762962</v>
      </c>
      <c r="AA460" t="str">
        <f t="shared" si="61"/>
        <v>February</v>
      </c>
      <c r="AB460">
        <f t="shared" si="62"/>
        <v>2024</v>
      </c>
      <c r="AC460" t="str">
        <f t="shared" si="63"/>
        <v>Clean</v>
      </c>
    </row>
    <row r="461" spans="1:29">
      <c r="A461" t="s">
        <v>1475</v>
      </c>
      <c r="B461" s="2">
        <v>45379</v>
      </c>
      <c r="C461" s="2">
        <v>45386</v>
      </c>
      <c r="D461" s="3">
        <f t="shared" si="56"/>
        <v>7</v>
      </c>
      <c r="E461" t="s">
        <v>1476</v>
      </c>
      <c r="F461" t="s">
        <v>62</v>
      </c>
      <c r="G461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1477</v>
      </c>
      <c r="N461" t="s">
        <v>50</v>
      </c>
      <c r="O461">
        <v>3</v>
      </c>
      <c r="P461">
        <v>1150.92</v>
      </c>
      <c r="Q461" s="7">
        <v>0</v>
      </c>
      <c r="R461">
        <v>3452.76</v>
      </c>
      <c r="S461">
        <v>2077.96</v>
      </c>
      <c r="T461">
        <v>1374.8</v>
      </c>
      <c r="U461" t="s">
        <v>32</v>
      </c>
      <c r="V461" t="s">
        <v>33</v>
      </c>
      <c r="W461" s="8">
        <f t="shared" si="57"/>
        <v>0</v>
      </c>
      <c r="X461">
        <f t="shared" si="58"/>
        <v>3452.76</v>
      </c>
      <c r="Y461">
        <f t="shared" si="59"/>
        <v>1374.8000000000002</v>
      </c>
      <c r="Z461" s="8">
        <f t="shared" si="60"/>
        <v>0.39817421425178701</v>
      </c>
      <c r="AA461" t="str">
        <f t="shared" si="61"/>
        <v>March</v>
      </c>
      <c r="AB461">
        <f t="shared" si="62"/>
        <v>2024</v>
      </c>
      <c r="AC461" t="str">
        <f t="shared" si="63"/>
        <v>Clean</v>
      </c>
    </row>
    <row r="462" spans="1:29">
      <c r="A462" t="s">
        <v>1478</v>
      </c>
      <c r="B462" s="2">
        <v>45930</v>
      </c>
      <c r="C462" s="2">
        <v>45936</v>
      </c>
      <c r="D462" s="3">
        <f t="shared" si="56"/>
        <v>6</v>
      </c>
      <c r="E462" t="s">
        <v>1479</v>
      </c>
      <c r="F462" t="s">
        <v>128</v>
      </c>
      <c r="G462" t="s">
        <v>90</v>
      </c>
      <c r="H462" s="4" t="s">
        <v>2760</v>
      </c>
      <c r="I462" t="s">
        <v>26</v>
      </c>
      <c r="J462" t="s">
        <v>27</v>
      </c>
      <c r="K462" t="s">
        <v>74</v>
      </c>
      <c r="L462" t="s">
        <v>80</v>
      </c>
      <c r="M462" t="s">
        <v>1480</v>
      </c>
      <c r="N462" t="s">
        <v>31</v>
      </c>
      <c r="O462">
        <v>9</v>
      </c>
      <c r="P462">
        <v>1359.88</v>
      </c>
      <c r="Q462" s="6">
        <v>0.05</v>
      </c>
      <c r="R462">
        <v>11626.97</v>
      </c>
      <c r="S462">
        <v>7394.07</v>
      </c>
      <c r="T462">
        <v>4232.8999999999996</v>
      </c>
      <c r="U462" t="s">
        <v>32</v>
      </c>
      <c r="V462" t="s">
        <v>33</v>
      </c>
      <c r="W462" s="8">
        <f t="shared" si="57"/>
        <v>0.05</v>
      </c>
      <c r="X462">
        <f t="shared" si="58"/>
        <v>11626.974000000002</v>
      </c>
      <c r="Y462">
        <f t="shared" si="59"/>
        <v>4232.9040000000023</v>
      </c>
      <c r="Z462" s="8">
        <f t="shared" si="60"/>
        <v>0.36405895463428417</v>
      </c>
      <c r="AA462" t="str">
        <f t="shared" si="61"/>
        <v>September</v>
      </c>
      <c r="AB462">
        <f t="shared" si="62"/>
        <v>2025</v>
      </c>
      <c r="AC462" t="str">
        <f t="shared" si="63"/>
        <v>Clean</v>
      </c>
    </row>
    <row r="463" spans="1:29">
      <c r="A463" t="s">
        <v>1481</v>
      </c>
      <c r="B463" s="2">
        <v>45802</v>
      </c>
      <c r="C463" s="2">
        <v>45803</v>
      </c>
      <c r="D463" s="3">
        <f t="shared" si="56"/>
        <v>1</v>
      </c>
      <c r="E463" t="s">
        <v>1482</v>
      </c>
      <c r="F463" t="s">
        <v>79</v>
      </c>
      <c r="G463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1483</v>
      </c>
      <c r="N463" t="s">
        <v>59</v>
      </c>
      <c r="O463">
        <v>3</v>
      </c>
      <c r="P463">
        <v>3378.15</v>
      </c>
      <c r="Q463" s="6">
        <v>0.15</v>
      </c>
      <c r="R463">
        <v>8614.2800000000007</v>
      </c>
      <c r="S463">
        <v>7052.08</v>
      </c>
      <c r="T463">
        <v>1562.2</v>
      </c>
      <c r="U463" t="s">
        <v>32</v>
      </c>
      <c r="V463" t="s">
        <v>33</v>
      </c>
      <c r="W463" s="8">
        <f t="shared" si="57"/>
        <v>0.15</v>
      </c>
      <c r="X463">
        <f t="shared" si="58"/>
        <v>8614.2825000000012</v>
      </c>
      <c r="Y463">
        <f t="shared" si="59"/>
        <v>1562.2025000000012</v>
      </c>
      <c r="Z463" s="8">
        <f t="shared" si="60"/>
        <v>0.18135027496486225</v>
      </c>
      <c r="AA463" t="str">
        <f t="shared" si="61"/>
        <v>May</v>
      </c>
      <c r="AB463">
        <f t="shared" si="62"/>
        <v>2025</v>
      </c>
      <c r="AC463" t="str">
        <f t="shared" si="63"/>
        <v>Clean</v>
      </c>
    </row>
    <row r="464" spans="1:29">
      <c r="A464" t="s">
        <v>1484</v>
      </c>
      <c r="B464" s="2">
        <v>45558</v>
      </c>
      <c r="C464" s="2">
        <v>45560</v>
      </c>
      <c r="D464" s="3">
        <f t="shared" si="56"/>
        <v>2</v>
      </c>
      <c r="E464" t="s">
        <v>1485</v>
      </c>
      <c r="F464" t="s">
        <v>128</v>
      </c>
      <c r="G464" t="s">
        <v>95</v>
      </c>
      <c r="H464" t="s">
        <v>25</v>
      </c>
      <c r="I464" t="s">
        <v>350</v>
      </c>
      <c r="J464" t="s">
        <v>351</v>
      </c>
      <c r="K464" t="s">
        <v>28</v>
      </c>
      <c r="L464" t="s">
        <v>153</v>
      </c>
      <c r="M464" t="s">
        <v>1486</v>
      </c>
      <c r="N464" t="s">
        <v>50</v>
      </c>
      <c r="O464">
        <v>2</v>
      </c>
      <c r="P464">
        <v>1275.1400000000001</v>
      </c>
      <c r="Q464" s="6">
        <v>0.2</v>
      </c>
      <c r="R464">
        <v>2040.22</v>
      </c>
      <c r="S464">
        <v>1395.71</v>
      </c>
      <c r="T464">
        <v>644.51</v>
      </c>
      <c r="U464" t="s">
        <v>32</v>
      </c>
      <c r="V464" t="s">
        <v>33</v>
      </c>
      <c r="W464" s="8">
        <f t="shared" si="57"/>
        <v>0.2</v>
      </c>
      <c r="X464">
        <f t="shared" si="58"/>
        <v>2040.2240000000002</v>
      </c>
      <c r="Y464">
        <f t="shared" si="59"/>
        <v>644.51400000000012</v>
      </c>
      <c r="Z464" s="8">
        <f t="shared" si="60"/>
        <v>0.31590354784572677</v>
      </c>
      <c r="AA464" t="str">
        <f t="shared" si="61"/>
        <v>September</v>
      </c>
      <c r="AB464">
        <f t="shared" si="62"/>
        <v>2024</v>
      </c>
      <c r="AC464" t="str">
        <f t="shared" si="63"/>
        <v>Clean</v>
      </c>
    </row>
    <row r="465" spans="1:29">
      <c r="A465" t="s">
        <v>1487</v>
      </c>
      <c r="B465" s="2">
        <v>45840</v>
      </c>
      <c r="C465" s="2">
        <v>45696</v>
      </c>
      <c r="D465" s="5">
        <f t="shared" si="56"/>
        <v>-144</v>
      </c>
      <c r="E465" t="s">
        <v>1488</v>
      </c>
      <c r="F465" t="s">
        <v>53</v>
      </c>
      <c r="G46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1489</v>
      </c>
      <c r="N465" t="s">
        <v>59</v>
      </c>
      <c r="O465">
        <v>4</v>
      </c>
      <c r="P465">
        <v>889.5</v>
      </c>
      <c r="Q465" s="6">
        <v>0.2</v>
      </c>
      <c r="R465">
        <v>2846.4</v>
      </c>
      <c r="S465">
        <v>2132.37</v>
      </c>
      <c r="T465">
        <v>714.03</v>
      </c>
      <c r="U465" t="s">
        <v>32</v>
      </c>
      <c r="V465" t="s">
        <v>33</v>
      </c>
      <c r="W465" s="8">
        <f t="shared" si="57"/>
        <v>0.2</v>
      </c>
      <c r="X465">
        <f t="shared" si="58"/>
        <v>2846.4</v>
      </c>
      <c r="Y465">
        <f t="shared" si="59"/>
        <v>714.0300000000002</v>
      </c>
      <c r="Z465" s="8">
        <f t="shared" si="60"/>
        <v>0.25085370994940986</v>
      </c>
      <c r="AA465" t="str">
        <f t="shared" si="61"/>
        <v>July</v>
      </c>
      <c r="AB465">
        <f t="shared" si="62"/>
        <v>2025</v>
      </c>
      <c r="AC465" t="str">
        <f t="shared" si="63"/>
        <v>Warning</v>
      </c>
    </row>
    <row r="466" spans="1:29">
      <c r="A466" t="s">
        <v>1490</v>
      </c>
      <c r="B466" s="2">
        <v>45964</v>
      </c>
      <c r="C466" s="2">
        <v>45731</v>
      </c>
      <c r="D466" s="5">
        <f t="shared" si="56"/>
        <v>-233</v>
      </c>
      <c r="E466" t="s">
        <v>1491</v>
      </c>
      <c r="F466" t="s">
        <v>53</v>
      </c>
      <c r="G466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1492</v>
      </c>
      <c r="N466" t="s">
        <v>44</v>
      </c>
      <c r="O466">
        <v>3</v>
      </c>
      <c r="P466">
        <v>3625.08</v>
      </c>
      <c r="Q466" s="6">
        <v>0.05</v>
      </c>
      <c r="R466">
        <v>10331.48</v>
      </c>
      <c r="S466">
        <v>7131.91</v>
      </c>
      <c r="T466">
        <v>3199.57</v>
      </c>
      <c r="U466" t="s">
        <v>111</v>
      </c>
      <c r="V466" t="s">
        <v>68</v>
      </c>
      <c r="W466" s="8">
        <f t="shared" si="57"/>
        <v>0.05</v>
      </c>
      <c r="X466">
        <f t="shared" si="58"/>
        <v>10331.477999999999</v>
      </c>
      <c r="Y466">
        <f t="shared" si="59"/>
        <v>3199.5679999999993</v>
      </c>
      <c r="Z466" s="8">
        <f t="shared" si="60"/>
        <v>0.30969121746181905</v>
      </c>
      <c r="AA466" t="str">
        <f t="shared" si="61"/>
        <v>November</v>
      </c>
      <c r="AB466">
        <f t="shared" si="62"/>
        <v>2025</v>
      </c>
      <c r="AC466" t="str">
        <f t="shared" si="63"/>
        <v>Warning</v>
      </c>
    </row>
    <row r="467" spans="1:29">
      <c r="A467" t="s">
        <v>1493</v>
      </c>
      <c r="B467" s="2">
        <v>45320</v>
      </c>
      <c r="C467" s="2">
        <v>45328</v>
      </c>
      <c r="D467" s="3">
        <f t="shared" si="56"/>
        <v>8</v>
      </c>
      <c r="E467" t="s">
        <v>1494</v>
      </c>
      <c r="F467" t="s">
        <v>128</v>
      </c>
      <c r="G467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1495</v>
      </c>
      <c r="N467" t="s">
        <v>59</v>
      </c>
      <c r="O467">
        <v>2</v>
      </c>
      <c r="P467">
        <v>1258.9000000000001</v>
      </c>
      <c r="Q467" s="7">
        <v>0</v>
      </c>
      <c r="R467">
        <v>2517.8000000000002</v>
      </c>
      <c r="S467">
        <v>1478.54</v>
      </c>
      <c r="T467">
        <v>1039.26</v>
      </c>
      <c r="U467" t="s">
        <v>32</v>
      </c>
      <c r="V467" t="s">
        <v>33</v>
      </c>
      <c r="W467" s="8">
        <f t="shared" si="57"/>
        <v>0</v>
      </c>
      <c r="X467">
        <f t="shared" si="58"/>
        <v>2517.8000000000002</v>
      </c>
      <c r="Y467">
        <f t="shared" si="59"/>
        <v>1039.2600000000002</v>
      </c>
      <c r="Z467" s="8">
        <f t="shared" si="60"/>
        <v>0.41276511239971408</v>
      </c>
      <c r="AA467" t="str">
        <f t="shared" si="61"/>
        <v>January</v>
      </c>
      <c r="AB467">
        <f t="shared" si="62"/>
        <v>2024</v>
      </c>
      <c r="AC467" t="str">
        <f t="shared" si="63"/>
        <v>Clean</v>
      </c>
    </row>
    <row r="468" spans="1:29">
      <c r="A468" t="s">
        <v>1496</v>
      </c>
      <c r="B468" s="2">
        <v>45383</v>
      </c>
      <c r="C468" s="2">
        <v>45299</v>
      </c>
      <c r="D468" s="5">
        <f t="shared" si="56"/>
        <v>-84</v>
      </c>
      <c r="E468" t="s">
        <v>1497</v>
      </c>
      <c r="F468" t="s">
        <v>36</v>
      </c>
      <c r="G468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1498</v>
      </c>
      <c r="N468" t="s">
        <v>44</v>
      </c>
      <c r="O468">
        <v>9</v>
      </c>
      <c r="P468">
        <v>1591.96</v>
      </c>
      <c r="Q468" s="6">
        <v>0.2</v>
      </c>
      <c r="R468">
        <v>11462.11</v>
      </c>
      <c r="S468">
        <v>7105.48</v>
      </c>
      <c r="T468">
        <v>4356.63</v>
      </c>
      <c r="U468" t="s">
        <v>32</v>
      </c>
      <c r="V468" t="s">
        <v>33</v>
      </c>
      <c r="W468" s="8">
        <f t="shared" si="57"/>
        <v>0.2</v>
      </c>
      <c r="X468">
        <f t="shared" si="58"/>
        <v>11462.112000000001</v>
      </c>
      <c r="Y468">
        <f t="shared" si="59"/>
        <v>4356.6320000000014</v>
      </c>
      <c r="Z468" s="8">
        <f t="shared" si="60"/>
        <v>0.38008981241851425</v>
      </c>
      <c r="AA468" t="str">
        <f t="shared" si="61"/>
        <v>April</v>
      </c>
      <c r="AB468">
        <f t="shared" si="62"/>
        <v>2024</v>
      </c>
      <c r="AC468" t="str">
        <f t="shared" si="63"/>
        <v>Warning</v>
      </c>
    </row>
    <row r="469" spans="1:29">
      <c r="A469" t="s">
        <v>1499</v>
      </c>
      <c r="B469" s="2">
        <v>45524</v>
      </c>
      <c r="C469" s="2">
        <v>45525</v>
      </c>
      <c r="D469" s="3">
        <f t="shared" si="56"/>
        <v>1</v>
      </c>
      <c r="E469" t="s">
        <v>1500</v>
      </c>
      <c r="F469" t="s">
        <v>89</v>
      </c>
      <c r="G469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1501</v>
      </c>
      <c r="N469" t="s">
        <v>50</v>
      </c>
      <c r="O469">
        <v>5</v>
      </c>
      <c r="P469">
        <v>4288.33</v>
      </c>
      <c r="Q469" s="6">
        <v>0.1</v>
      </c>
      <c r="R469">
        <v>19297.490000000002</v>
      </c>
      <c r="S469">
        <v>15451.66</v>
      </c>
      <c r="T469">
        <v>3845.83</v>
      </c>
      <c r="U469" t="s">
        <v>102</v>
      </c>
      <c r="V469" t="s">
        <v>68</v>
      </c>
      <c r="W469" s="8">
        <f t="shared" si="57"/>
        <v>0.1</v>
      </c>
      <c r="X469">
        <f t="shared" si="58"/>
        <v>19297.485000000001</v>
      </c>
      <c r="Y469">
        <f t="shared" si="59"/>
        <v>3845.8250000000007</v>
      </c>
      <c r="Z469" s="8">
        <f t="shared" si="60"/>
        <v>0.1992915138941681</v>
      </c>
      <c r="AA469" t="str">
        <f t="shared" si="61"/>
        <v>August</v>
      </c>
      <c r="AB469">
        <f t="shared" si="62"/>
        <v>2024</v>
      </c>
      <c r="AC469" t="str">
        <f t="shared" si="63"/>
        <v>Clean</v>
      </c>
    </row>
    <row r="470" spans="1:29">
      <c r="A470" t="s">
        <v>1502</v>
      </c>
      <c r="B470" s="2">
        <v>45666</v>
      </c>
      <c r="C470" s="2">
        <v>45664</v>
      </c>
      <c r="D470" s="5">
        <f t="shared" si="56"/>
        <v>-2</v>
      </c>
      <c r="E470" t="s">
        <v>1503</v>
      </c>
      <c r="F470" t="s">
        <v>128</v>
      </c>
      <c r="G470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1504</v>
      </c>
      <c r="N470" t="s">
        <v>31</v>
      </c>
      <c r="O470">
        <v>3</v>
      </c>
      <c r="P470">
        <v>2188.33</v>
      </c>
      <c r="Q470" s="7">
        <v>0</v>
      </c>
      <c r="R470">
        <v>6564.99</v>
      </c>
      <c r="S470">
        <v>5407.24</v>
      </c>
      <c r="T470">
        <v>1157.75</v>
      </c>
      <c r="U470" t="s">
        <v>32</v>
      </c>
      <c r="V470" t="s">
        <v>33</v>
      </c>
      <c r="W470" s="8">
        <f t="shared" si="57"/>
        <v>0</v>
      </c>
      <c r="X470">
        <f t="shared" si="58"/>
        <v>6564.99</v>
      </c>
      <c r="Y470">
        <f t="shared" si="59"/>
        <v>1157.75</v>
      </c>
      <c r="Z470" s="8">
        <f t="shared" si="60"/>
        <v>0.17635213458055535</v>
      </c>
      <c r="AA470" t="str">
        <f t="shared" si="61"/>
        <v>January</v>
      </c>
      <c r="AB470">
        <f t="shared" si="62"/>
        <v>2025</v>
      </c>
      <c r="AC470" t="str">
        <f t="shared" si="63"/>
        <v>Warning</v>
      </c>
    </row>
    <row r="471" spans="1:29">
      <c r="A471" t="s">
        <v>1505</v>
      </c>
      <c r="B471" s="2">
        <v>45310</v>
      </c>
      <c r="C471" s="2">
        <v>45316</v>
      </c>
      <c r="D471" s="3">
        <f t="shared" si="56"/>
        <v>6</v>
      </c>
      <c r="E471" t="s">
        <v>1506</v>
      </c>
      <c r="F471" t="s">
        <v>89</v>
      </c>
      <c r="G471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1507</v>
      </c>
      <c r="N471" t="s">
        <v>50</v>
      </c>
      <c r="O471">
        <v>3</v>
      </c>
      <c r="P471">
        <v>1041.6600000000001</v>
      </c>
      <c r="Q471" s="6">
        <v>0.1</v>
      </c>
      <c r="R471">
        <v>2812.48</v>
      </c>
      <c r="S471">
        <v>2282.12</v>
      </c>
      <c r="T471">
        <v>530.36</v>
      </c>
      <c r="U471" t="s">
        <v>32</v>
      </c>
      <c r="V471" t="s">
        <v>33</v>
      </c>
      <c r="W471" s="8">
        <f t="shared" si="57"/>
        <v>0.1</v>
      </c>
      <c r="X471">
        <f t="shared" si="58"/>
        <v>2812.4820000000004</v>
      </c>
      <c r="Y471">
        <f t="shared" si="59"/>
        <v>530.36200000000053</v>
      </c>
      <c r="Z471" s="8">
        <f t="shared" si="60"/>
        <v>0.18857436243147527</v>
      </c>
      <c r="AA471" t="str">
        <f t="shared" si="61"/>
        <v>January</v>
      </c>
      <c r="AB471">
        <f t="shared" si="62"/>
        <v>2024</v>
      </c>
      <c r="AC471" t="str">
        <f t="shared" si="63"/>
        <v>Clean</v>
      </c>
    </row>
    <row r="472" spans="1:29">
      <c r="A472" t="s">
        <v>1508</v>
      </c>
      <c r="B472" s="2">
        <v>45501</v>
      </c>
      <c r="C472" s="2">
        <v>45504</v>
      </c>
      <c r="D472" s="3">
        <f t="shared" si="56"/>
        <v>3</v>
      </c>
      <c r="E472" t="s">
        <v>1509</v>
      </c>
      <c r="F472" t="s">
        <v>89</v>
      </c>
      <c r="G472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1510</v>
      </c>
      <c r="N472" t="s">
        <v>44</v>
      </c>
      <c r="O472">
        <v>2</v>
      </c>
      <c r="P472">
        <v>4424.78</v>
      </c>
      <c r="Q472" s="6">
        <v>0.2</v>
      </c>
      <c r="R472">
        <v>7079.65</v>
      </c>
      <c r="S472">
        <v>4465.91</v>
      </c>
      <c r="T472">
        <v>2613.7399999999998</v>
      </c>
      <c r="U472" t="s">
        <v>32</v>
      </c>
      <c r="V472" t="s">
        <v>33</v>
      </c>
      <c r="W472" s="8">
        <f t="shared" si="57"/>
        <v>0.2</v>
      </c>
      <c r="X472">
        <f t="shared" si="58"/>
        <v>7079.6480000000001</v>
      </c>
      <c r="Y472">
        <f t="shared" si="59"/>
        <v>2613.7380000000003</v>
      </c>
      <c r="Z472" s="8">
        <f t="shared" si="60"/>
        <v>0.36919038912669105</v>
      </c>
      <c r="AA472" t="str">
        <f t="shared" si="61"/>
        <v>July</v>
      </c>
      <c r="AB472">
        <f t="shared" si="62"/>
        <v>2024</v>
      </c>
      <c r="AC472" t="str">
        <f t="shared" si="63"/>
        <v>Clean</v>
      </c>
    </row>
    <row r="473" spans="1:29">
      <c r="A473" t="s">
        <v>1511</v>
      </c>
      <c r="B473" s="2">
        <v>45598</v>
      </c>
      <c r="C473" s="2">
        <v>45337</v>
      </c>
      <c r="D473" s="5">
        <f t="shared" si="56"/>
        <v>-261</v>
      </c>
      <c r="E473" t="s">
        <v>1512</v>
      </c>
      <c r="F473" t="s">
        <v>264</v>
      </c>
      <c r="G473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1513</v>
      </c>
      <c r="N473" t="s">
        <v>59</v>
      </c>
      <c r="O473">
        <v>3</v>
      </c>
      <c r="P473">
        <v>3019.14</v>
      </c>
      <c r="Q473" s="6">
        <v>0.25</v>
      </c>
      <c r="R473">
        <v>6793.07</v>
      </c>
      <c r="S473">
        <v>4985.22</v>
      </c>
      <c r="T473">
        <v>1807.85</v>
      </c>
      <c r="U473" t="s">
        <v>32</v>
      </c>
      <c r="V473" t="s">
        <v>33</v>
      </c>
      <c r="W473" s="8">
        <f t="shared" si="57"/>
        <v>0.25</v>
      </c>
      <c r="X473">
        <f t="shared" si="58"/>
        <v>6793.0650000000005</v>
      </c>
      <c r="Y473">
        <f t="shared" si="59"/>
        <v>1807.8450000000003</v>
      </c>
      <c r="Z473" s="8">
        <f t="shared" si="60"/>
        <v>0.26613097327936652</v>
      </c>
      <c r="AA473" t="str">
        <f t="shared" si="61"/>
        <v>November</v>
      </c>
      <c r="AB473">
        <f t="shared" si="62"/>
        <v>2024</v>
      </c>
      <c r="AC473" t="str">
        <f t="shared" si="63"/>
        <v>Warning</v>
      </c>
    </row>
    <row r="474" spans="1:29">
      <c r="A474" t="s">
        <v>1514</v>
      </c>
      <c r="B474" s="2">
        <v>45325</v>
      </c>
      <c r="C474" s="2">
        <v>45358</v>
      </c>
      <c r="D474" s="3">
        <f t="shared" si="56"/>
        <v>33</v>
      </c>
      <c r="E474" t="s">
        <v>1515</v>
      </c>
      <c r="F474" t="s">
        <v>141</v>
      </c>
      <c r="G474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1516</v>
      </c>
      <c r="N474" t="s">
        <v>59</v>
      </c>
      <c r="O474">
        <v>7</v>
      </c>
      <c r="P474">
        <v>263.45999999999998</v>
      </c>
      <c r="Q474" s="7">
        <v>0</v>
      </c>
      <c r="R474">
        <v>1844.22</v>
      </c>
      <c r="S474">
        <v>1094.21</v>
      </c>
      <c r="T474">
        <v>750.01</v>
      </c>
      <c r="U474" t="s">
        <v>32</v>
      </c>
      <c r="V474" t="s">
        <v>33</v>
      </c>
      <c r="W474" s="8">
        <f t="shared" si="57"/>
        <v>0</v>
      </c>
      <c r="X474">
        <f t="shared" si="58"/>
        <v>1844.2199999999998</v>
      </c>
      <c r="Y474">
        <f t="shared" si="59"/>
        <v>750.00999999999976</v>
      </c>
      <c r="Z474" s="8">
        <f t="shared" si="60"/>
        <v>0.40668141544934977</v>
      </c>
      <c r="AA474" t="str">
        <f t="shared" si="61"/>
        <v>February</v>
      </c>
      <c r="AB474">
        <f t="shared" si="62"/>
        <v>2024</v>
      </c>
      <c r="AC474" t="str">
        <f t="shared" si="63"/>
        <v>Clean</v>
      </c>
    </row>
    <row r="475" spans="1:29">
      <c r="A475" t="s">
        <v>1517</v>
      </c>
      <c r="B475" s="2">
        <v>45609</v>
      </c>
      <c r="C475" s="2">
        <v>45609</v>
      </c>
      <c r="D475" s="3">
        <f t="shared" si="56"/>
        <v>0</v>
      </c>
      <c r="E475" t="s">
        <v>1518</v>
      </c>
      <c r="F475" t="s">
        <v>114</v>
      </c>
      <c r="G47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1519</v>
      </c>
      <c r="N475" t="s">
        <v>59</v>
      </c>
      <c r="O475">
        <v>6</v>
      </c>
      <c r="P475">
        <v>191.45</v>
      </c>
      <c r="Q475" s="6">
        <v>0.2</v>
      </c>
      <c r="R475">
        <v>918.96</v>
      </c>
      <c r="S475">
        <v>554.17999999999995</v>
      </c>
      <c r="T475">
        <v>364.78</v>
      </c>
      <c r="U475" t="s">
        <v>32</v>
      </c>
      <c r="V475" t="s">
        <v>33</v>
      </c>
      <c r="W475" s="8">
        <f t="shared" si="57"/>
        <v>0.2</v>
      </c>
      <c r="X475">
        <f t="shared" si="58"/>
        <v>918.95999999999992</v>
      </c>
      <c r="Y475">
        <f t="shared" si="59"/>
        <v>364.78</v>
      </c>
      <c r="Z475" s="8">
        <f t="shared" si="60"/>
        <v>0.39694872464525116</v>
      </c>
      <c r="AA475" t="str">
        <f t="shared" si="61"/>
        <v>November</v>
      </c>
      <c r="AB475">
        <f t="shared" si="62"/>
        <v>2024</v>
      </c>
      <c r="AC475" t="str">
        <f t="shared" si="63"/>
        <v>Clean</v>
      </c>
    </row>
    <row r="476" spans="1:29">
      <c r="A476" t="s">
        <v>1520</v>
      </c>
      <c r="B476" s="2">
        <v>45357</v>
      </c>
      <c r="C476" s="2">
        <v>45453</v>
      </c>
      <c r="D476" s="3">
        <f t="shared" si="56"/>
        <v>96</v>
      </c>
      <c r="E476" t="s">
        <v>1521</v>
      </c>
      <c r="F476" t="s">
        <v>162</v>
      </c>
      <c r="G476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1522</v>
      </c>
      <c r="N476" t="s">
        <v>59</v>
      </c>
      <c r="O476">
        <v>3</v>
      </c>
      <c r="P476">
        <v>1633.57</v>
      </c>
      <c r="Q476" s="7">
        <v>0</v>
      </c>
      <c r="R476">
        <v>4900.71</v>
      </c>
      <c r="S476">
        <v>2713.9</v>
      </c>
      <c r="T476">
        <v>2186.81</v>
      </c>
      <c r="U476" t="s">
        <v>32</v>
      </c>
      <c r="V476" t="s">
        <v>33</v>
      </c>
      <c r="W476" s="8">
        <f t="shared" si="57"/>
        <v>0</v>
      </c>
      <c r="X476">
        <f t="shared" si="58"/>
        <v>4900.71</v>
      </c>
      <c r="Y476">
        <f t="shared" si="59"/>
        <v>2186.81</v>
      </c>
      <c r="Z476" s="8">
        <f t="shared" si="60"/>
        <v>0.44622309828575857</v>
      </c>
      <c r="AA476" t="str">
        <f t="shared" si="61"/>
        <v>March</v>
      </c>
      <c r="AB476">
        <f t="shared" si="62"/>
        <v>2024</v>
      </c>
      <c r="AC476" t="str">
        <f t="shared" si="63"/>
        <v>Clean</v>
      </c>
    </row>
    <row r="477" spans="1:29">
      <c r="A477" t="s">
        <v>1523</v>
      </c>
      <c r="B477" s="2">
        <v>45717</v>
      </c>
      <c r="C477" s="2">
        <v>45724</v>
      </c>
      <c r="D477" s="3">
        <f t="shared" si="56"/>
        <v>7</v>
      </c>
      <c r="E477" t="s">
        <v>1524</v>
      </c>
      <c r="F477" t="s">
        <v>71</v>
      </c>
      <c r="G477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1525</v>
      </c>
      <c r="N477" t="s">
        <v>44</v>
      </c>
      <c r="O477">
        <v>8</v>
      </c>
      <c r="P477">
        <v>3378.82</v>
      </c>
      <c r="Q477" s="6">
        <v>0.25</v>
      </c>
      <c r="R477">
        <v>20272.919999999998</v>
      </c>
      <c r="S477">
        <v>15873.38</v>
      </c>
      <c r="T477">
        <v>4399.54</v>
      </c>
      <c r="U477" t="s">
        <v>111</v>
      </c>
      <c r="V477" t="s">
        <v>103</v>
      </c>
      <c r="W477" s="8">
        <f t="shared" si="57"/>
        <v>0.25</v>
      </c>
      <c r="X477">
        <f t="shared" si="58"/>
        <v>20272.920000000002</v>
      </c>
      <c r="Y477">
        <f t="shared" si="59"/>
        <v>4399.5400000000027</v>
      </c>
      <c r="Z477" s="8">
        <f t="shared" si="60"/>
        <v>0.21701560505344086</v>
      </c>
      <c r="AA477" t="str">
        <f t="shared" si="61"/>
        <v>March</v>
      </c>
      <c r="AB477">
        <f t="shared" si="62"/>
        <v>2025</v>
      </c>
      <c r="AC477" t="str">
        <f t="shared" si="63"/>
        <v>Clean</v>
      </c>
    </row>
    <row r="478" spans="1:29">
      <c r="A478" t="s">
        <v>1526</v>
      </c>
      <c r="B478" s="2">
        <v>45419</v>
      </c>
      <c r="C478" s="2">
        <v>45426</v>
      </c>
      <c r="D478" s="3">
        <f t="shared" si="56"/>
        <v>7</v>
      </c>
      <c r="E478" t="s">
        <v>1527</v>
      </c>
      <c r="F478" t="s">
        <v>132</v>
      </c>
      <c r="G478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1528</v>
      </c>
      <c r="N478" t="s">
        <v>50</v>
      </c>
      <c r="O478">
        <v>3</v>
      </c>
      <c r="P478">
        <v>383.58</v>
      </c>
      <c r="Q478" s="6">
        <v>0.1</v>
      </c>
      <c r="R478">
        <v>1035.67</v>
      </c>
      <c r="S478">
        <v>595.41999999999996</v>
      </c>
      <c r="T478">
        <v>440.25</v>
      </c>
      <c r="U478" t="s">
        <v>32</v>
      </c>
      <c r="V478" t="s">
        <v>33</v>
      </c>
      <c r="W478" s="8">
        <f t="shared" si="57"/>
        <v>0.1</v>
      </c>
      <c r="X478">
        <f t="shared" si="58"/>
        <v>1035.6659999999999</v>
      </c>
      <c r="Y478">
        <f t="shared" si="59"/>
        <v>440.24599999999998</v>
      </c>
      <c r="Z478" s="8">
        <f t="shared" si="60"/>
        <v>0.42508492120046426</v>
      </c>
      <c r="AA478" t="str">
        <f t="shared" si="61"/>
        <v>May</v>
      </c>
      <c r="AB478">
        <f t="shared" si="62"/>
        <v>2024</v>
      </c>
      <c r="AC478" t="str">
        <f t="shared" si="63"/>
        <v>Clean</v>
      </c>
    </row>
    <row r="479" spans="1:29">
      <c r="A479" t="s">
        <v>1529</v>
      </c>
      <c r="B479" s="2">
        <v>45892</v>
      </c>
      <c r="C479" s="2">
        <v>45897</v>
      </c>
      <c r="D479" s="3">
        <f t="shared" si="56"/>
        <v>5</v>
      </c>
      <c r="E479" t="s">
        <v>1530</v>
      </c>
      <c r="F479" t="s">
        <v>71</v>
      </c>
      <c r="G479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1531</v>
      </c>
      <c r="N479" t="s">
        <v>59</v>
      </c>
      <c r="O479">
        <v>6</v>
      </c>
      <c r="P479">
        <v>2193.23</v>
      </c>
      <c r="Q479" s="6">
        <v>0.1</v>
      </c>
      <c r="R479">
        <v>11843.44</v>
      </c>
      <c r="S479">
        <v>9356.8799999999992</v>
      </c>
      <c r="T479">
        <v>2486.56</v>
      </c>
      <c r="U479" t="s">
        <v>32</v>
      </c>
      <c r="V479" t="s">
        <v>68</v>
      </c>
      <c r="W479" s="8">
        <f t="shared" si="57"/>
        <v>0.1</v>
      </c>
      <c r="X479">
        <f t="shared" si="58"/>
        <v>11843.442000000001</v>
      </c>
      <c r="Y479">
        <f t="shared" si="59"/>
        <v>2486.5620000000017</v>
      </c>
      <c r="Z479" s="8">
        <f t="shared" si="60"/>
        <v>0.20995264721184953</v>
      </c>
      <c r="AA479" t="str">
        <f t="shared" si="61"/>
        <v>August</v>
      </c>
      <c r="AB479">
        <f t="shared" si="62"/>
        <v>2025</v>
      </c>
      <c r="AC479" t="str">
        <f t="shared" si="63"/>
        <v>Clean</v>
      </c>
    </row>
    <row r="480" spans="1:29">
      <c r="A480" t="s">
        <v>1532</v>
      </c>
      <c r="B480" s="2">
        <v>45452</v>
      </c>
      <c r="C480" s="2">
        <v>45456</v>
      </c>
      <c r="D480" s="3">
        <f t="shared" si="56"/>
        <v>4</v>
      </c>
      <c r="E480" t="s">
        <v>1533</v>
      </c>
      <c r="F480" t="s">
        <v>36</v>
      </c>
      <c r="G480" t="s">
        <v>95</v>
      </c>
      <c r="H480" s="4" t="s">
        <v>2760</v>
      </c>
      <c r="I480" t="s">
        <v>136</v>
      </c>
      <c r="J480" t="s">
        <v>137</v>
      </c>
      <c r="K480" t="s">
        <v>74</v>
      </c>
      <c r="L480" t="s">
        <v>274</v>
      </c>
      <c r="M480" t="s">
        <v>1534</v>
      </c>
      <c r="N480" t="s">
        <v>44</v>
      </c>
      <c r="O480">
        <v>7</v>
      </c>
      <c r="P480">
        <v>4079.71</v>
      </c>
      <c r="Q480" s="6">
        <v>0.1</v>
      </c>
      <c r="R480">
        <v>25702.17</v>
      </c>
      <c r="S480">
        <v>14571.48</v>
      </c>
      <c r="T480">
        <v>11130.69</v>
      </c>
      <c r="U480" t="s">
        <v>102</v>
      </c>
      <c r="V480" t="s">
        <v>103</v>
      </c>
      <c r="W480" s="8">
        <f t="shared" si="57"/>
        <v>0.1</v>
      </c>
      <c r="X480">
        <f t="shared" si="58"/>
        <v>25702.173000000003</v>
      </c>
      <c r="Y480">
        <f t="shared" si="59"/>
        <v>11130.693000000003</v>
      </c>
      <c r="Z480" s="8">
        <f t="shared" si="60"/>
        <v>0.43306427826160854</v>
      </c>
      <c r="AA480" t="str">
        <f t="shared" si="61"/>
        <v>June</v>
      </c>
      <c r="AB480">
        <f t="shared" si="62"/>
        <v>2024</v>
      </c>
      <c r="AC480" t="str">
        <f t="shared" si="63"/>
        <v>Clean</v>
      </c>
    </row>
    <row r="481" spans="1:29">
      <c r="A481" t="s">
        <v>1535</v>
      </c>
      <c r="B481" s="2">
        <v>45345</v>
      </c>
      <c r="C481" s="2">
        <v>45342</v>
      </c>
      <c r="D481" s="5">
        <f t="shared" si="56"/>
        <v>-3</v>
      </c>
      <c r="E481" t="s">
        <v>1536</v>
      </c>
      <c r="F481" t="s">
        <v>53</v>
      </c>
      <c r="G481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1537</v>
      </c>
      <c r="N481" t="s">
        <v>31</v>
      </c>
      <c r="O481">
        <v>1</v>
      </c>
      <c r="P481">
        <v>2202.5500000000002</v>
      </c>
      <c r="Q481" s="7">
        <v>0</v>
      </c>
      <c r="R481">
        <v>1651.91</v>
      </c>
      <c r="S481">
        <v>1034.57</v>
      </c>
      <c r="T481">
        <v>617.34</v>
      </c>
      <c r="U481" t="s">
        <v>32</v>
      </c>
      <c r="V481" t="s">
        <v>33</v>
      </c>
      <c r="W481" s="8">
        <f t="shared" si="57"/>
        <v>0</v>
      </c>
      <c r="X481">
        <f t="shared" si="58"/>
        <v>2202.5500000000002</v>
      </c>
      <c r="Y481">
        <f t="shared" si="59"/>
        <v>1167.9800000000002</v>
      </c>
      <c r="Z481" s="8">
        <f t="shared" si="60"/>
        <v>0.53028535107035035</v>
      </c>
      <c r="AA481" t="str">
        <f t="shared" si="61"/>
        <v>February</v>
      </c>
      <c r="AB481">
        <f t="shared" si="62"/>
        <v>2024</v>
      </c>
      <c r="AC481" t="str">
        <f t="shared" si="63"/>
        <v>Warning</v>
      </c>
    </row>
    <row r="482" spans="1:29">
      <c r="A482" t="s">
        <v>1538</v>
      </c>
      <c r="B482" s="2">
        <v>45662</v>
      </c>
      <c r="C482" s="2">
        <v>45666</v>
      </c>
      <c r="D482" s="3">
        <f t="shared" si="56"/>
        <v>4</v>
      </c>
      <c r="E482" t="s">
        <v>1539</v>
      </c>
      <c r="F482" t="s">
        <v>79</v>
      </c>
      <c r="G482" t="s">
        <v>37</v>
      </c>
      <c r="H482" t="s">
        <v>54</v>
      </c>
      <c r="I482" t="s">
        <v>247</v>
      </c>
      <c r="J482" t="s">
        <v>248</v>
      </c>
      <c r="K482" t="s">
        <v>28</v>
      </c>
      <c r="L482" t="s">
        <v>124</v>
      </c>
      <c r="M482" t="s">
        <v>1540</v>
      </c>
      <c r="N482" s="4" t="s">
        <v>2760</v>
      </c>
      <c r="O482">
        <v>5</v>
      </c>
      <c r="P482">
        <v>905.16</v>
      </c>
      <c r="Q482" s="7">
        <v>0</v>
      </c>
      <c r="R482">
        <v>4525.8</v>
      </c>
      <c r="S482">
        <v>2714.51</v>
      </c>
      <c r="T482">
        <v>1811.29</v>
      </c>
      <c r="U482" t="s">
        <v>32</v>
      </c>
      <c r="V482" t="s">
        <v>33</v>
      </c>
      <c r="W482" s="8">
        <f t="shared" si="57"/>
        <v>0</v>
      </c>
      <c r="X482">
        <f t="shared" si="58"/>
        <v>4525.8</v>
      </c>
      <c r="Y482">
        <f t="shared" si="59"/>
        <v>1811.29</v>
      </c>
      <c r="Z482" s="8">
        <f t="shared" si="60"/>
        <v>0.40021432674886204</v>
      </c>
      <c r="AA482" t="str">
        <f t="shared" si="61"/>
        <v>January</v>
      </c>
      <c r="AB482">
        <f t="shared" si="62"/>
        <v>2025</v>
      </c>
      <c r="AC482" t="str">
        <f t="shared" si="63"/>
        <v>Clean</v>
      </c>
    </row>
    <row r="483" spans="1:29">
      <c r="A483" t="s">
        <v>1541</v>
      </c>
      <c r="B483" s="2">
        <v>45813</v>
      </c>
      <c r="C483" s="2">
        <v>45821</v>
      </c>
      <c r="D483" s="3">
        <f t="shared" si="56"/>
        <v>8</v>
      </c>
      <c r="E483" t="s">
        <v>1542</v>
      </c>
      <c r="F483" t="s">
        <v>47</v>
      </c>
      <c r="G483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274</v>
      </c>
      <c r="M483" t="s">
        <v>1543</v>
      </c>
      <c r="N483" t="s">
        <v>44</v>
      </c>
      <c r="O483">
        <v>4</v>
      </c>
      <c r="P483">
        <v>2793.88</v>
      </c>
      <c r="Q483" s="6">
        <v>0.85</v>
      </c>
      <c r="R483">
        <v>10616.74</v>
      </c>
      <c r="S483">
        <v>6353.59</v>
      </c>
      <c r="T483">
        <v>4263.1499999999996</v>
      </c>
      <c r="U483" t="s">
        <v>32</v>
      </c>
      <c r="V483" t="s">
        <v>33</v>
      </c>
      <c r="W483" s="8">
        <f t="shared" si="57"/>
        <v>0.85</v>
      </c>
      <c r="X483">
        <f t="shared" si="58"/>
        <v>1676.3280000000002</v>
      </c>
      <c r="Y483">
        <f t="shared" si="59"/>
        <v>-4677.2619999999997</v>
      </c>
      <c r="Z483" s="8">
        <f t="shared" si="60"/>
        <v>-2.7901830667983827</v>
      </c>
      <c r="AA483" t="str">
        <f t="shared" si="61"/>
        <v>June</v>
      </c>
      <c r="AB483">
        <f t="shared" si="62"/>
        <v>2025</v>
      </c>
      <c r="AC483" t="str">
        <f t="shared" si="63"/>
        <v>Clean</v>
      </c>
    </row>
    <row r="484" spans="1:29">
      <c r="A484" t="s">
        <v>1544</v>
      </c>
      <c r="B484" s="2">
        <v>45495</v>
      </c>
      <c r="C484" s="2">
        <v>45495</v>
      </c>
      <c r="D484" s="3">
        <f t="shared" si="56"/>
        <v>0</v>
      </c>
      <c r="E484" t="s">
        <v>1545</v>
      </c>
      <c r="F484" t="s">
        <v>114</v>
      </c>
      <c r="G484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1546</v>
      </c>
      <c r="N484" t="s">
        <v>31</v>
      </c>
      <c r="O484">
        <v>3</v>
      </c>
      <c r="P484">
        <v>1286.22</v>
      </c>
      <c r="Q484" s="6">
        <v>0.25</v>
      </c>
      <c r="R484">
        <v>2893.99</v>
      </c>
      <c r="S484">
        <v>1856.03</v>
      </c>
      <c r="T484">
        <v>1037.96</v>
      </c>
      <c r="U484" t="s">
        <v>32</v>
      </c>
      <c r="V484" t="s">
        <v>33</v>
      </c>
      <c r="W484" s="8">
        <f t="shared" si="57"/>
        <v>0.25</v>
      </c>
      <c r="X484">
        <f t="shared" si="58"/>
        <v>2893.9949999999999</v>
      </c>
      <c r="Y484">
        <f t="shared" si="59"/>
        <v>1037.9649999999999</v>
      </c>
      <c r="Z484" s="8">
        <f t="shared" si="60"/>
        <v>0.35866164247001114</v>
      </c>
      <c r="AA484" t="str">
        <f t="shared" si="61"/>
        <v>July</v>
      </c>
      <c r="AB484">
        <f t="shared" si="62"/>
        <v>2024</v>
      </c>
      <c r="AC484" t="str">
        <f t="shared" si="63"/>
        <v>Clean</v>
      </c>
    </row>
    <row r="485" spans="1:29">
      <c r="A485" t="s">
        <v>1547</v>
      </c>
      <c r="B485" s="2">
        <v>45651</v>
      </c>
      <c r="C485" s="2">
        <v>45651</v>
      </c>
      <c r="D485" s="3">
        <f t="shared" si="56"/>
        <v>0</v>
      </c>
      <c r="E485" t="s">
        <v>1548</v>
      </c>
      <c r="F485" t="s">
        <v>36</v>
      </c>
      <c r="G48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1549</v>
      </c>
      <c r="N485" t="s">
        <v>59</v>
      </c>
      <c r="O485">
        <v>1</v>
      </c>
      <c r="P485">
        <v>829.66</v>
      </c>
      <c r="Q485" s="6">
        <v>0.15</v>
      </c>
      <c r="R485">
        <v>705.21</v>
      </c>
      <c r="S485">
        <v>438.32</v>
      </c>
      <c r="T485">
        <v>266.89</v>
      </c>
      <c r="U485" t="s">
        <v>32</v>
      </c>
      <c r="V485" t="s">
        <v>33</v>
      </c>
      <c r="W485" s="8">
        <f t="shared" si="57"/>
        <v>0.15</v>
      </c>
      <c r="X485">
        <f t="shared" si="58"/>
        <v>705.2109999999999</v>
      </c>
      <c r="Y485">
        <f t="shared" si="59"/>
        <v>266.89099999999991</v>
      </c>
      <c r="Z485" s="8">
        <f t="shared" si="60"/>
        <v>0.37845552607659261</v>
      </c>
      <c r="AA485" t="str">
        <f t="shared" si="61"/>
        <v>December</v>
      </c>
      <c r="AB485">
        <f t="shared" si="62"/>
        <v>2024</v>
      </c>
      <c r="AC485" t="str">
        <f t="shared" si="63"/>
        <v>Clean</v>
      </c>
    </row>
    <row r="486" spans="1:29">
      <c r="A486" t="s">
        <v>1550</v>
      </c>
      <c r="B486" s="2">
        <v>45654</v>
      </c>
      <c r="C486" s="2">
        <v>45657</v>
      </c>
      <c r="D486" s="3">
        <f t="shared" si="56"/>
        <v>3</v>
      </c>
      <c r="E486" t="s">
        <v>1551</v>
      </c>
      <c r="F486" t="s">
        <v>36</v>
      </c>
      <c r="G486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1552</v>
      </c>
      <c r="N486" t="s">
        <v>50</v>
      </c>
      <c r="O486">
        <v>6</v>
      </c>
      <c r="P486">
        <v>3641.22</v>
      </c>
      <c r="Q486" s="6">
        <v>0.25</v>
      </c>
      <c r="R486">
        <v>16385.490000000002</v>
      </c>
      <c r="S486">
        <v>13679.24</v>
      </c>
      <c r="T486">
        <v>2706.25</v>
      </c>
      <c r="U486" t="s">
        <v>32</v>
      </c>
      <c r="V486" t="s">
        <v>33</v>
      </c>
      <c r="W486" s="8">
        <f t="shared" si="57"/>
        <v>0.25</v>
      </c>
      <c r="X486">
        <f t="shared" si="58"/>
        <v>16385.489999999998</v>
      </c>
      <c r="Y486">
        <f t="shared" si="59"/>
        <v>2706.2499999999982</v>
      </c>
      <c r="Z486" s="8">
        <f t="shared" si="60"/>
        <v>0.16516137143289572</v>
      </c>
      <c r="AA486" t="str">
        <f t="shared" si="61"/>
        <v>December</v>
      </c>
      <c r="AB486">
        <f t="shared" si="62"/>
        <v>2024</v>
      </c>
      <c r="AC486" t="str">
        <f t="shared" si="63"/>
        <v>Clean</v>
      </c>
    </row>
    <row r="487" spans="1:29">
      <c r="A487" t="s">
        <v>1553</v>
      </c>
      <c r="B487" s="2">
        <v>45679</v>
      </c>
      <c r="C487" s="2">
        <v>45680</v>
      </c>
      <c r="D487" s="3">
        <f t="shared" si="56"/>
        <v>1</v>
      </c>
      <c r="E487" t="s">
        <v>1554</v>
      </c>
      <c r="F487" t="s">
        <v>118</v>
      </c>
      <c r="G487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1555</v>
      </c>
      <c r="N487" t="s">
        <v>59</v>
      </c>
      <c r="O487">
        <v>4</v>
      </c>
      <c r="P487">
        <v>2555.19</v>
      </c>
      <c r="Q487" s="6">
        <v>0.25</v>
      </c>
      <c r="R487">
        <v>7665.57</v>
      </c>
      <c r="S487">
        <v>5595.6</v>
      </c>
      <c r="T487">
        <v>2069.9699999999998</v>
      </c>
      <c r="U487" t="s">
        <v>32</v>
      </c>
      <c r="V487" t="s">
        <v>33</v>
      </c>
      <c r="W487" s="8">
        <f t="shared" si="57"/>
        <v>0.25</v>
      </c>
      <c r="X487">
        <f t="shared" si="58"/>
        <v>7665.57</v>
      </c>
      <c r="Y487">
        <f t="shared" si="59"/>
        <v>2069.9699999999993</v>
      </c>
      <c r="Z487" s="8">
        <f t="shared" si="60"/>
        <v>0.27003471366121495</v>
      </c>
      <c r="AA487" t="str">
        <f t="shared" si="61"/>
        <v>January</v>
      </c>
      <c r="AB487">
        <f t="shared" si="62"/>
        <v>2025</v>
      </c>
      <c r="AC487" t="str">
        <f t="shared" si="63"/>
        <v>Clean</v>
      </c>
    </row>
    <row r="488" spans="1:29">
      <c r="A488" t="s">
        <v>1556</v>
      </c>
      <c r="B488" s="2">
        <v>45830</v>
      </c>
      <c r="C488" s="2">
        <v>45834</v>
      </c>
      <c r="D488" s="3">
        <f t="shared" si="56"/>
        <v>4</v>
      </c>
      <c r="E488" t="s">
        <v>1557</v>
      </c>
      <c r="F488" t="s">
        <v>118</v>
      </c>
      <c r="G488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1558</v>
      </c>
      <c r="N488" t="s">
        <v>59</v>
      </c>
      <c r="O488">
        <v>3</v>
      </c>
      <c r="P488">
        <v>1946.18</v>
      </c>
      <c r="Q488" s="6">
        <v>0.2</v>
      </c>
      <c r="R488">
        <v>4670.83</v>
      </c>
      <c r="S488">
        <v>3166.49</v>
      </c>
      <c r="T488">
        <v>1504.34</v>
      </c>
      <c r="U488" t="s">
        <v>32</v>
      </c>
      <c r="V488" t="s">
        <v>33</v>
      </c>
      <c r="W488" s="8">
        <f t="shared" si="57"/>
        <v>0.2</v>
      </c>
      <c r="X488">
        <f t="shared" si="58"/>
        <v>4670.8320000000003</v>
      </c>
      <c r="Y488">
        <f t="shared" si="59"/>
        <v>1504.3420000000006</v>
      </c>
      <c r="Z488" s="8">
        <f t="shared" si="60"/>
        <v>0.3220715281560117</v>
      </c>
      <c r="AA488" t="str">
        <f t="shared" si="61"/>
        <v>June</v>
      </c>
      <c r="AB488">
        <f t="shared" si="62"/>
        <v>2025</v>
      </c>
      <c r="AC488" t="str">
        <f t="shared" si="63"/>
        <v>Clean</v>
      </c>
    </row>
    <row r="489" spans="1:29">
      <c r="A489" t="s">
        <v>1559</v>
      </c>
      <c r="B489" s="2">
        <v>45818</v>
      </c>
      <c r="C489" s="2">
        <v>45825</v>
      </c>
      <c r="D489" s="3">
        <f t="shared" si="56"/>
        <v>7</v>
      </c>
      <c r="E489" t="s">
        <v>1560</v>
      </c>
      <c r="F489" t="s">
        <v>118</v>
      </c>
      <c r="G489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1561</v>
      </c>
      <c r="N489" t="s">
        <v>59</v>
      </c>
      <c r="O489">
        <v>5</v>
      </c>
      <c r="P489">
        <v>1231.0999999999999</v>
      </c>
      <c r="Q489" s="7">
        <v>0</v>
      </c>
      <c r="R489">
        <v>6155.5</v>
      </c>
      <c r="S489">
        <v>4282.09</v>
      </c>
      <c r="T489">
        <v>1873.41</v>
      </c>
      <c r="U489" t="s">
        <v>102</v>
      </c>
      <c r="V489" t="s">
        <v>103</v>
      </c>
      <c r="W489" s="8">
        <f t="shared" si="57"/>
        <v>0</v>
      </c>
      <c r="X489">
        <f t="shared" si="58"/>
        <v>6155.5</v>
      </c>
      <c r="Y489">
        <f t="shared" si="59"/>
        <v>1873.4099999999999</v>
      </c>
      <c r="Z489" s="8">
        <f t="shared" si="60"/>
        <v>0.3043473316546178</v>
      </c>
      <c r="AA489" t="str">
        <f t="shared" si="61"/>
        <v>June</v>
      </c>
      <c r="AB489">
        <f t="shared" si="62"/>
        <v>2025</v>
      </c>
      <c r="AC489" t="str">
        <f t="shared" si="63"/>
        <v>Clean</v>
      </c>
    </row>
    <row r="490" spans="1:29">
      <c r="A490" t="s">
        <v>1562</v>
      </c>
      <c r="B490" s="2">
        <v>45579</v>
      </c>
      <c r="C490" s="2">
        <v>45585</v>
      </c>
      <c r="D490" s="3">
        <f t="shared" si="56"/>
        <v>6</v>
      </c>
      <c r="E490" t="s">
        <v>1563</v>
      </c>
      <c r="F490" t="s">
        <v>89</v>
      </c>
      <c r="G490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1564</v>
      </c>
      <c r="N490" t="s">
        <v>44</v>
      </c>
      <c r="O490">
        <v>7</v>
      </c>
      <c r="P490">
        <v>1547.6</v>
      </c>
      <c r="Q490" s="6">
        <v>0.2</v>
      </c>
      <c r="R490">
        <v>8666.56</v>
      </c>
      <c r="S490">
        <v>5967.44</v>
      </c>
      <c r="T490">
        <v>2699.12</v>
      </c>
      <c r="U490" t="s">
        <v>32</v>
      </c>
      <c r="V490" t="s">
        <v>33</v>
      </c>
      <c r="W490" s="8">
        <f t="shared" si="57"/>
        <v>0.2</v>
      </c>
      <c r="X490">
        <f t="shared" si="58"/>
        <v>8666.56</v>
      </c>
      <c r="Y490">
        <f t="shared" si="59"/>
        <v>2699.12</v>
      </c>
      <c r="Z490" s="8">
        <f t="shared" si="60"/>
        <v>0.31144075619392242</v>
      </c>
      <c r="AA490" t="str">
        <f t="shared" si="61"/>
        <v>October</v>
      </c>
      <c r="AB490">
        <f t="shared" si="62"/>
        <v>2024</v>
      </c>
      <c r="AC490" t="str">
        <f t="shared" si="63"/>
        <v>Clean</v>
      </c>
    </row>
    <row r="491" spans="1:29">
      <c r="A491" t="s">
        <v>1565</v>
      </c>
      <c r="B491" s="2">
        <v>45329</v>
      </c>
      <c r="C491" s="2">
        <v>45334</v>
      </c>
      <c r="D491" s="3">
        <f t="shared" si="56"/>
        <v>5</v>
      </c>
      <c r="E491" t="s">
        <v>1566</v>
      </c>
      <c r="F491" t="s">
        <v>53</v>
      </c>
      <c r="G491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1567</v>
      </c>
      <c r="N491" t="s">
        <v>31</v>
      </c>
      <c r="O491">
        <v>1</v>
      </c>
      <c r="P491">
        <v>452.19</v>
      </c>
      <c r="Q491" s="6">
        <v>0.2</v>
      </c>
      <c r="R491">
        <v>361.75</v>
      </c>
      <c r="S491">
        <v>262.52999999999997</v>
      </c>
      <c r="T491">
        <v>99.22</v>
      </c>
      <c r="U491" t="s">
        <v>32</v>
      </c>
      <c r="V491" t="s">
        <v>33</v>
      </c>
      <c r="W491" s="8">
        <f t="shared" si="57"/>
        <v>0.2</v>
      </c>
      <c r="X491">
        <f t="shared" si="58"/>
        <v>361.75200000000001</v>
      </c>
      <c r="Y491">
        <f t="shared" si="59"/>
        <v>99.222000000000037</v>
      </c>
      <c r="Z491" s="8">
        <f t="shared" si="60"/>
        <v>0.27428182843495003</v>
      </c>
      <c r="AA491" t="str">
        <f t="shared" si="61"/>
        <v>February</v>
      </c>
      <c r="AB491">
        <f t="shared" si="62"/>
        <v>2024</v>
      </c>
      <c r="AC491" t="str">
        <f t="shared" si="63"/>
        <v>Clean</v>
      </c>
    </row>
    <row r="492" spans="1:29">
      <c r="A492" t="s">
        <v>1568</v>
      </c>
      <c r="B492" s="2">
        <v>45551</v>
      </c>
      <c r="C492" s="2">
        <v>45554</v>
      </c>
      <c r="D492" s="3">
        <f t="shared" si="56"/>
        <v>3</v>
      </c>
      <c r="E492" t="s">
        <v>1569</v>
      </c>
      <c r="F492" t="s">
        <v>89</v>
      </c>
      <c r="G492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1570</v>
      </c>
      <c r="N492" t="s">
        <v>50</v>
      </c>
      <c r="O492">
        <v>7</v>
      </c>
      <c r="P492">
        <v>406.42</v>
      </c>
      <c r="Q492" s="6">
        <v>0.15</v>
      </c>
      <c r="R492">
        <v>2418.1999999999998</v>
      </c>
      <c r="S492">
        <v>1613.82</v>
      </c>
      <c r="T492">
        <v>804.38</v>
      </c>
      <c r="U492" t="s">
        <v>32</v>
      </c>
      <c r="V492" t="s">
        <v>33</v>
      </c>
      <c r="W492" s="8">
        <f t="shared" si="57"/>
        <v>0.15</v>
      </c>
      <c r="X492">
        <f t="shared" si="58"/>
        <v>2418.1990000000001</v>
      </c>
      <c r="Y492">
        <f t="shared" si="59"/>
        <v>804.37900000000013</v>
      </c>
      <c r="Z492" s="8">
        <f t="shared" si="60"/>
        <v>0.33263556886757462</v>
      </c>
      <c r="AA492" t="str">
        <f t="shared" si="61"/>
        <v>September</v>
      </c>
      <c r="AB492">
        <f t="shared" si="62"/>
        <v>2024</v>
      </c>
      <c r="AC492" t="str">
        <f t="shared" si="63"/>
        <v>Clean</v>
      </c>
    </row>
    <row r="493" spans="1:29">
      <c r="A493" t="s">
        <v>1571</v>
      </c>
      <c r="B493" s="2">
        <v>45776</v>
      </c>
      <c r="C493" s="2">
        <v>45777</v>
      </c>
      <c r="D493" s="3">
        <f t="shared" si="56"/>
        <v>1</v>
      </c>
      <c r="E493" t="s">
        <v>1572</v>
      </c>
      <c r="F493" t="s">
        <v>36</v>
      </c>
      <c r="G493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1573</v>
      </c>
      <c r="N493" t="s">
        <v>59</v>
      </c>
      <c r="O493">
        <v>4</v>
      </c>
      <c r="P493">
        <v>606.58000000000004</v>
      </c>
      <c r="Q493" s="6">
        <v>0.2</v>
      </c>
      <c r="R493">
        <v>1941.06</v>
      </c>
      <c r="S493">
        <v>1207.42</v>
      </c>
      <c r="T493">
        <v>733.64</v>
      </c>
      <c r="U493" t="s">
        <v>32</v>
      </c>
      <c r="V493" t="s">
        <v>33</v>
      </c>
      <c r="W493" s="8">
        <f t="shared" si="57"/>
        <v>0.2</v>
      </c>
      <c r="X493">
        <f t="shared" si="58"/>
        <v>1941.0560000000003</v>
      </c>
      <c r="Y493">
        <f t="shared" si="59"/>
        <v>733.63600000000019</v>
      </c>
      <c r="Z493" s="8">
        <f t="shared" si="60"/>
        <v>0.37795715321969076</v>
      </c>
      <c r="AA493" t="str">
        <f t="shared" si="61"/>
        <v>April</v>
      </c>
      <c r="AB493">
        <f t="shared" si="62"/>
        <v>2025</v>
      </c>
      <c r="AC493" t="str">
        <f t="shared" si="63"/>
        <v>Clean</v>
      </c>
    </row>
    <row r="494" spans="1:29">
      <c r="A494" t="s">
        <v>1574</v>
      </c>
      <c r="B494" s="2">
        <v>45836</v>
      </c>
      <c r="C494" s="2">
        <v>45840</v>
      </c>
      <c r="D494" s="3">
        <f t="shared" si="56"/>
        <v>4</v>
      </c>
      <c r="E494" t="s">
        <v>1575</v>
      </c>
      <c r="F494" t="s">
        <v>62</v>
      </c>
      <c r="G494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1576</v>
      </c>
      <c r="N494" t="s">
        <v>31</v>
      </c>
      <c r="O494">
        <v>2</v>
      </c>
      <c r="P494">
        <v>2725.44</v>
      </c>
      <c r="Q494" s="6">
        <v>0.25</v>
      </c>
      <c r="R494">
        <v>4088.16</v>
      </c>
      <c r="S494">
        <v>3205.68</v>
      </c>
      <c r="T494">
        <v>882.48</v>
      </c>
      <c r="U494" t="s">
        <v>32</v>
      </c>
      <c r="V494" t="s">
        <v>33</v>
      </c>
      <c r="W494" s="8">
        <f t="shared" si="57"/>
        <v>0.25</v>
      </c>
      <c r="X494">
        <f t="shared" si="58"/>
        <v>4088.16</v>
      </c>
      <c r="Y494">
        <f t="shared" si="59"/>
        <v>882.48</v>
      </c>
      <c r="Z494" s="8">
        <f t="shared" si="60"/>
        <v>0.21586239286133616</v>
      </c>
      <c r="AA494" t="str">
        <f t="shared" si="61"/>
        <v>June</v>
      </c>
      <c r="AB494">
        <f t="shared" si="62"/>
        <v>2025</v>
      </c>
      <c r="AC494" t="str">
        <f t="shared" si="63"/>
        <v>Clean</v>
      </c>
    </row>
    <row r="495" spans="1:29">
      <c r="A495" t="s">
        <v>1577</v>
      </c>
      <c r="B495" s="2">
        <v>45701</v>
      </c>
      <c r="C495" s="2">
        <v>45701</v>
      </c>
      <c r="D495" s="3">
        <f t="shared" si="56"/>
        <v>0</v>
      </c>
      <c r="E495" t="s">
        <v>1578</v>
      </c>
      <c r="F495" t="s">
        <v>264</v>
      </c>
      <c r="G49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1579</v>
      </c>
      <c r="N495" t="s">
        <v>31</v>
      </c>
      <c r="O495">
        <v>7</v>
      </c>
      <c r="P495">
        <v>2296.6999999999998</v>
      </c>
      <c r="Q495" s="6">
        <v>0.05</v>
      </c>
      <c r="R495">
        <v>15273.05</v>
      </c>
      <c r="S495">
        <v>11088.76</v>
      </c>
      <c r="T495">
        <v>4184.29</v>
      </c>
      <c r="U495" t="s">
        <v>32</v>
      </c>
      <c r="V495" t="s">
        <v>33</v>
      </c>
      <c r="W495" s="8">
        <f t="shared" si="57"/>
        <v>0.05</v>
      </c>
      <c r="X495">
        <f t="shared" si="58"/>
        <v>15273.054999999997</v>
      </c>
      <c r="Y495">
        <f t="shared" si="59"/>
        <v>4184.2949999999964</v>
      </c>
      <c r="Z495" s="8">
        <f t="shared" si="60"/>
        <v>0.27396581757873573</v>
      </c>
      <c r="AA495" t="str">
        <f t="shared" si="61"/>
        <v>February</v>
      </c>
      <c r="AB495">
        <f t="shared" si="62"/>
        <v>2025</v>
      </c>
      <c r="AC495" t="str">
        <f t="shared" si="63"/>
        <v>Clean</v>
      </c>
    </row>
    <row r="496" spans="1:29">
      <c r="A496" t="s">
        <v>1580</v>
      </c>
      <c r="B496" s="2">
        <v>45610</v>
      </c>
      <c r="C496" s="2">
        <v>45618</v>
      </c>
      <c r="D496" s="3">
        <f t="shared" si="56"/>
        <v>8</v>
      </c>
      <c r="E496" t="s">
        <v>1581</v>
      </c>
      <c r="F496" t="s">
        <v>47</v>
      </c>
      <c r="G496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1582</v>
      </c>
      <c r="N496" t="s">
        <v>59</v>
      </c>
      <c r="O496">
        <v>3</v>
      </c>
      <c r="P496">
        <v>671.68</v>
      </c>
      <c r="Q496" s="7">
        <v>-0.13</v>
      </c>
      <c r="R496">
        <v>1712.78</v>
      </c>
      <c r="S496">
        <v>1569.38</v>
      </c>
      <c r="T496">
        <v>360.66</v>
      </c>
      <c r="U496" t="s">
        <v>155</v>
      </c>
      <c r="V496" t="s">
        <v>68</v>
      </c>
      <c r="W496" s="8">
        <f t="shared" si="57"/>
        <v>-0.13</v>
      </c>
      <c r="X496">
        <f t="shared" si="58"/>
        <v>2276.9951999999998</v>
      </c>
      <c r="Y496">
        <f t="shared" si="59"/>
        <v>707.61519999999973</v>
      </c>
      <c r="Z496" s="8">
        <f t="shared" si="60"/>
        <v>0.31076710218800629</v>
      </c>
      <c r="AA496" t="str">
        <f t="shared" si="61"/>
        <v>November</v>
      </c>
      <c r="AB496">
        <f t="shared" si="62"/>
        <v>2024</v>
      </c>
      <c r="AC496" t="str">
        <f t="shared" si="63"/>
        <v>Invalid</v>
      </c>
    </row>
    <row r="497" spans="1:29">
      <c r="A497" t="s">
        <v>1583</v>
      </c>
      <c r="B497" s="2">
        <v>45421</v>
      </c>
      <c r="C497" s="2">
        <v>45427</v>
      </c>
      <c r="D497" s="3">
        <f t="shared" si="56"/>
        <v>6</v>
      </c>
      <c r="E497" t="s">
        <v>1584</v>
      </c>
      <c r="F497" t="s">
        <v>36</v>
      </c>
      <c r="G497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1585</v>
      </c>
      <c r="N497" t="s">
        <v>31</v>
      </c>
      <c r="O497">
        <v>4</v>
      </c>
      <c r="P497">
        <v>995.98</v>
      </c>
      <c r="Q497" s="6">
        <v>0.05</v>
      </c>
      <c r="R497">
        <v>3784.72</v>
      </c>
      <c r="S497">
        <v>2419.2399999999998</v>
      </c>
      <c r="T497">
        <v>1365.48</v>
      </c>
      <c r="U497" t="s">
        <v>102</v>
      </c>
      <c r="V497" t="s">
        <v>103</v>
      </c>
      <c r="W497" s="8">
        <f t="shared" si="57"/>
        <v>0.05</v>
      </c>
      <c r="X497">
        <f t="shared" si="58"/>
        <v>3784.7239999999997</v>
      </c>
      <c r="Y497">
        <f t="shared" si="59"/>
        <v>1365.4839999999999</v>
      </c>
      <c r="Z497" s="8">
        <f t="shared" si="60"/>
        <v>0.36078826355633858</v>
      </c>
      <c r="AA497" t="str">
        <f t="shared" si="61"/>
        <v>May</v>
      </c>
      <c r="AB497">
        <f t="shared" si="62"/>
        <v>2024</v>
      </c>
      <c r="AC497" t="str">
        <f t="shared" si="63"/>
        <v>Clean</v>
      </c>
    </row>
    <row r="498" spans="1:29">
      <c r="A498" t="s">
        <v>1586</v>
      </c>
      <c r="B498" s="2">
        <v>45842</v>
      </c>
      <c r="C498" s="2">
        <v>45844</v>
      </c>
      <c r="D498" s="3">
        <f t="shared" si="56"/>
        <v>2</v>
      </c>
      <c r="E498" t="s">
        <v>1587</v>
      </c>
      <c r="F498" t="s">
        <v>264</v>
      </c>
      <c r="G498" t="s">
        <v>37</v>
      </c>
      <c r="H498" t="s">
        <v>38</v>
      </c>
      <c r="I498" t="s">
        <v>228</v>
      </c>
      <c r="J498" t="s">
        <v>229</v>
      </c>
      <c r="K498" t="s">
        <v>41</v>
      </c>
      <c r="L498" t="s">
        <v>66</v>
      </c>
      <c r="M498" t="s">
        <v>1588</v>
      </c>
      <c r="N498" t="s">
        <v>31</v>
      </c>
      <c r="O498">
        <v>2</v>
      </c>
      <c r="P498">
        <v>3686.42</v>
      </c>
      <c r="Q498" s="6">
        <v>0.1</v>
      </c>
      <c r="R498">
        <v>6635.56</v>
      </c>
      <c r="S498">
        <v>3652.91</v>
      </c>
      <c r="T498">
        <v>2982.65</v>
      </c>
      <c r="U498" t="s">
        <v>32</v>
      </c>
      <c r="V498" t="s">
        <v>33</v>
      </c>
      <c r="W498" s="8">
        <f t="shared" si="57"/>
        <v>0.1</v>
      </c>
      <c r="X498">
        <f t="shared" si="58"/>
        <v>6635.5560000000005</v>
      </c>
      <c r="Y498">
        <f t="shared" si="59"/>
        <v>2982.6460000000006</v>
      </c>
      <c r="Z498" s="8">
        <f t="shared" si="60"/>
        <v>0.44949451108543131</v>
      </c>
      <c r="AA498" t="str">
        <f t="shared" si="61"/>
        <v>July</v>
      </c>
      <c r="AB498">
        <f t="shared" si="62"/>
        <v>2025</v>
      </c>
      <c r="AC498" t="str">
        <f t="shared" si="63"/>
        <v>Clean</v>
      </c>
    </row>
    <row r="499" spans="1:29">
      <c r="A499" t="s">
        <v>1589</v>
      </c>
      <c r="B499" s="2">
        <v>45533</v>
      </c>
      <c r="C499" s="2">
        <v>45533</v>
      </c>
      <c r="D499" s="3">
        <f t="shared" si="56"/>
        <v>0</v>
      </c>
      <c r="E499" t="s">
        <v>1590</v>
      </c>
      <c r="F499" t="s">
        <v>132</v>
      </c>
      <c r="G499" t="s">
        <v>37</v>
      </c>
      <c r="H499" t="s">
        <v>25</v>
      </c>
      <c r="I499" t="s">
        <v>136</v>
      </c>
      <c r="J499" t="s">
        <v>137</v>
      </c>
      <c r="K499" t="s">
        <v>74</v>
      </c>
      <c r="L499" t="s">
        <v>75</v>
      </c>
      <c r="M499" t="s">
        <v>1591</v>
      </c>
      <c r="N499" t="s">
        <v>31</v>
      </c>
      <c r="O499">
        <v>1</v>
      </c>
      <c r="P499">
        <v>3106.88</v>
      </c>
      <c r="Q499" s="6">
        <v>0.2</v>
      </c>
      <c r="R499">
        <v>2485.5</v>
      </c>
      <c r="S499">
        <v>2028.43</v>
      </c>
      <c r="T499">
        <v>457.07</v>
      </c>
      <c r="U499" t="s">
        <v>32</v>
      </c>
      <c r="V499" t="s">
        <v>68</v>
      </c>
      <c r="W499" s="8">
        <f t="shared" si="57"/>
        <v>0.2</v>
      </c>
      <c r="X499">
        <f t="shared" si="58"/>
        <v>2485.5040000000004</v>
      </c>
      <c r="Y499">
        <f t="shared" si="59"/>
        <v>457.0740000000003</v>
      </c>
      <c r="Z499" s="8">
        <f t="shared" si="60"/>
        <v>0.18389590199814615</v>
      </c>
      <c r="AA499" t="str">
        <f t="shared" si="61"/>
        <v>August</v>
      </c>
      <c r="AB499">
        <f t="shared" si="62"/>
        <v>2024</v>
      </c>
      <c r="AC499" t="str">
        <f t="shared" si="63"/>
        <v>Clean</v>
      </c>
    </row>
    <row r="500" spans="1:29">
      <c r="A500" t="s">
        <v>1592</v>
      </c>
      <c r="B500" s="2">
        <v>45907</v>
      </c>
      <c r="C500" s="2">
        <v>45910</v>
      </c>
      <c r="D500" s="3">
        <f t="shared" si="56"/>
        <v>3</v>
      </c>
      <c r="E500" t="s">
        <v>1593</v>
      </c>
      <c r="F500" t="s">
        <v>23</v>
      </c>
      <c r="G500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1594</v>
      </c>
      <c r="N500" t="s">
        <v>44</v>
      </c>
      <c r="O500">
        <v>2</v>
      </c>
      <c r="P500">
        <v>447.55</v>
      </c>
      <c r="Q500" s="6">
        <v>0.05</v>
      </c>
      <c r="R500">
        <v>850.35</v>
      </c>
      <c r="S500">
        <v>600.98</v>
      </c>
      <c r="T500">
        <v>249.37</v>
      </c>
      <c r="U500" t="s">
        <v>102</v>
      </c>
      <c r="V500" t="s">
        <v>68</v>
      </c>
      <c r="W500" s="8">
        <f t="shared" si="57"/>
        <v>0.05</v>
      </c>
      <c r="X500">
        <f t="shared" si="58"/>
        <v>850.34500000000003</v>
      </c>
      <c r="Y500">
        <f t="shared" si="59"/>
        <v>249.36500000000001</v>
      </c>
      <c r="Z500" s="8">
        <f t="shared" si="60"/>
        <v>0.29325156260106194</v>
      </c>
      <c r="AA500" t="str">
        <f t="shared" si="61"/>
        <v>September</v>
      </c>
      <c r="AB500">
        <f t="shared" si="62"/>
        <v>2025</v>
      </c>
      <c r="AC500" t="str">
        <f t="shared" si="63"/>
        <v>Clean</v>
      </c>
    </row>
    <row r="501" spans="1:29">
      <c r="A501" t="s">
        <v>1595</v>
      </c>
      <c r="B501" s="2">
        <v>45648</v>
      </c>
      <c r="C501" s="2">
        <v>45652</v>
      </c>
      <c r="D501" s="3">
        <f t="shared" si="56"/>
        <v>4</v>
      </c>
      <c r="E501" t="s">
        <v>1596</v>
      </c>
      <c r="F501" t="s">
        <v>118</v>
      </c>
      <c r="G501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1597</v>
      </c>
      <c r="N501" t="s">
        <v>59</v>
      </c>
      <c r="O501">
        <v>9</v>
      </c>
      <c r="P501">
        <v>1110.8699999999999</v>
      </c>
      <c r="Q501" s="7">
        <v>0</v>
      </c>
      <c r="R501">
        <v>7498.37</v>
      </c>
      <c r="S501">
        <v>6059.07</v>
      </c>
      <c r="T501">
        <v>1439.3</v>
      </c>
      <c r="U501" t="s">
        <v>32</v>
      </c>
      <c r="V501" t="s">
        <v>68</v>
      </c>
      <c r="W501" s="8">
        <f t="shared" si="57"/>
        <v>0</v>
      </c>
      <c r="X501">
        <f t="shared" si="58"/>
        <v>9997.8299999999981</v>
      </c>
      <c r="Y501">
        <f t="shared" si="59"/>
        <v>3938.7599999999984</v>
      </c>
      <c r="Z501" s="8">
        <f t="shared" si="60"/>
        <v>0.3939614896432525</v>
      </c>
      <c r="AA501" t="str">
        <f t="shared" si="61"/>
        <v>December</v>
      </c>
      <c r="AB501">
        <f t="shared" si="62"/>
        <v>2024</v>
      </c>
      <c r="AC501" t="str">
        <f t="shared" si="63"/>
        <v>Clean</v>
      </c>
    </row>
    <row r="502" spans="1:29">
      <c r="A502" t="s">
        <v>1598</v>
      </c>
      <c r="B502" s="2">
        <v>45429</v>
      </c>
      <c r="C502" s="2">
        <v>45434</v>
      </c>
      <c r="D502" s="3">
        <f t="shared" si="56"/>
        <v>5</v>
      </c>
      <c r="E502" t="s">
        <v>1599</v>
      </c>
      <c r="F502" t="s">
        <v>132</v>
      </c>
      <c r="G502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1600</v>
      </c>
      <c r="N502" t="s">
        <v>44</v>
      </c>
      <c r="O502">
        <v>9</v>
      </c>
      <c r="P502">
        <v>3795.99</v>
      </c>
      <c r="Q502" s="6">
        <v>0.85</v>
      </c>
      <c r="R502">
        <v>34163.910000000003</v>
      </c>
      <c r="S502">
        <v>28577.15</v>
      </c>
      <c r="T502">
        <v>5586.76</v>
      </c>
      <c r="U502" t="s">
        <v>32</v>
      </c>
      <c r="V502" t="s">
        <v>33</v>
      </c>
      <c r="W502" s="8">
        <f t="shared" si="57"/>
        <v>0.85</v>
      </c>
      <c r="X502">
        <f t="shared" si="58"/>
        <v>5124.5865000000003</v>
      </c>
      <c r="Y502">
        <f t="shared" si="59"/>
        <v>-23452.5635</v>
      </c>
      <c r="Z502" s="8">
        <f t="shared" si="60"/>
        <v>-4.5764791949555343</v>
      </c>
      <c r="AA502" t="str">
        <f t="shared" si="61"/>
        <v>May</v>
      </c>
      <c r="AB502">
        <f t="shared" si="62"/>
        <v>2024</v>
      </c>
      <c r="AC502" t="str">
        <f t="shared" si="63"/>
        <v>Clean</v>
      </c>
    </row>
    <row r="503" spans="1:29">
      <c r="A503" t="s">
        <v>1601</v>
      </c>
      <c r="B503" s="2">
        <v>45515</v>
      </c>
      <c r="C503" s="2">
        <v>45521</v>
      </c>
      <c r="D503" s="3">
        <f t="shared" si="56"/>
        <v>6</v>
      </c>
      <c r="E503" t="s">
        <v>806</v>
      </c>
      <c r="F503" t="s">
        <v>79</v>
      </c>
      <c r="G503" t="s">
        <v>24</v>
      </c>
      <c r="H503" t="s">
        <v>38</v>
      </c>
      <c r="I503" t="s">
        <v>228</v>
      </c>
      <c r="J503" t="s">
        <v>229</v>
      </c>
      <c r="K503" t="s">
        <v>28</v>
      </c>
      <c r="L503" t="s">
        <v>48</v>
      </c>
      <c r="M503" t="s">
        <v>1602</v>
      </c>
      <c r="N503" t="s">
        <v>31</v>
      </c>
      <c r="O503">
        <v>6</v>
      </c>
      <c r="P503">
        <v>3497.54</v>
      </c>
      <c r="Q503" s="6">
        <v>0.15</v>
      </c>
      <c r="R503">
        <v>17837.45</v>
      </c>
      <c r="S503">
        <v>13627.02</v>
      </c>
      <c r="T503">
        <v>4210.43</v>
      </c>
      <c r="U503" t="s">
        <v>32</v>
      </c>
      <c r="V503" t="s">
        <v>33</v>
      </c>
      <c r="W503" s="8">
        <f t="shared" si="57"/>
        <v>0.15</v>
      </c>
      <c r="X503">
        <f t="shared" si="58"/>
        <v>17837.453999999998</v>
      </c>
      <c r="Y503">
        <f t="shared" si="59"/>
        <v>4210.4339999999975</v>
      </c>
      <c r="Z503" s="8">
        <f t="shared" si="60"/>
        <v>0.23604456106796395</v>
      </c>
      <c r="AA503" t="str">
        <f t="shared" si="61"/>
        <v>August</v>
      </c>
      <c r="AB503">
        <f t="shared" si="62"/>
        <v>2024</v>
      </c>
      <c r="AC503" t="str">
        <f t="shared" si="63"/>
        <v>Clean</v>
      </c>
    </row>
    <row r="504" spans="1:29">
      <c r="A504" t="s">
        <v>1603</v>
      </c>
      <c r="B504" s="2">
        <v>45383</v>
      </c>
      <c r="C504" s="2">
        <v>45391</v>
      </c>
      <c r="D504" s="3">
        <f t="shared" si="56"/>
        <v>8</v>
      </c>
      <c r="E504" t="s">
        <v>1604</v>
      </c>
      <c r="F504" t="s">
        <v>114</v>
      </c>
      <c r="G504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1605</v>
      </c>
      <c r="N504" t="s">
        <v>31</v>
      </c>
      <c r="O504">
        <v>6</v>
      </c>
      <c r="P504">
        <v>826.93</v>
      </c>
      <c r="Q504" s="6">
        <v>0.1</v>
      </c>
      <c r="R504">
        <v>4465.42</v>
      </c>
      <c r="S504">
        <v>3377.1</v>
      </c>
      <c r="T504">
        <v>1088.32</v>
      </c>
      <c r="U504" t="s">
        <v>32</v>
      </c>
      <c r="V504" t="s">
        <v>33</v>
      </c>
      <c r="W504" s="8">
        <f t="shared" si="57"/>
        <v>0.1</v>
      </c>
      <c r="X504">
        <f t="shared" si="58"/>
        <v>4465.4220000000005</v>
      </c>
      <c r="Y504">
        <f t="shared" si="59"/>
        <v>1088.3220000000006</v>
      </c>
      <c r="Z504" s="8">
        <f t="shared" si="60"/>
        <v>0.24372209390288319</v>
      </c>
      <c r="AA504" t="str">
        <f t="shared" si="61"/>
        <v>April</v>
      </c>
      <c r="AB504">
        <f t="shared" si="62"/>
        <v>2024</v>
      </c>
      <c r="AC504" t="str">
        <f t="shared" si="63"/>
        <v>Clean</v>
      </c>
    </row>
    <row r="505" spans="1:29">
      <c r="A505" t="s">
        <v>1606</v>
      </c>
      <c r="B505" s="2">
        <v>45563</v>
      </c>
      <c r="C505" s="2">
        <v>45570</v>
      </c>
      <c r="D505" s="3">
        <f t="shared" si="56"/>
        <v>7</v>
      </c>
      <c r="E505" t="s">
        <v>1607</v>
      </c>
      <c r="F505" t="s">
        <v>128</v>
      </c>
      <c r="G505" t="s">
        <v>24</v>
      </c>
      <c r="H505" t="s">
        <v>54</v>
      </c>
      <c r="I505" t="s">
        <v>247</v>
      </c>
      <c r="J505" t="s">
        <v>248</v>
      </c>
      <c r="K505" t="s">
        <v>74</v>
      </c>
      <c r="L505" t="s">
        <v>171</v>
      </c>
      <c r="M505" t="s">
        <v>1608</v>
      </c>
      <c r="N505" t="s">
        <v>59</v>
      </c>
      <c r="O505">
        <v>7</v>
      </c>
      <c r="P505">
        <v>1681.6</v>
      </c>
      <c r="Q505" s="6">
        <v>0.1</v>
      </c>
      <c r="R505">
        <v>10594.08</v>
      </c>
      <c r="S505">
        <v>7160.31</v>
      </c>
      <c r="T505">
        <v>3433.77</v>
      </c>
      <c r="U505" t="s">
        <v>32</v>
      </c>
      <c r="V505" t="s">
        <v>33</v>
      </c>
      <c r="W505" s="8">
        <f t="shared" si="57"/>
        <v>0.1</v>
      </c>
      <c r="X505">
        <f t="shared" si="58"/>
        <v>10594.08</v>
      </c>
      <c r="Y505">
        <f t="shared" si="59"/>
        <v>3433.7699999999995</v>
      </c>
      <c r="Z505" s="8">
        <f t="shared" si="60"/>
        <v>0.32412158488514337</v>
      </c>
      <c r="AA505" t="str">
        <f t="shared" si="61"/>
        <v>September</v>
      </c>
      <c r="AB505">
        <f t="shared" si="62"/>
        <v>2024</v>
      </c>
      <c r="AC505" t="str">
        <f t="shared" si="63"/>
        <v>Clean</v>
      </c>
    </row>
    <row r="506" spans="1:29">
      <c r="A506" t="s">
        <v>1609</v>
      </c>
      <c r="B506" s="2">
        <v>45700</v>
      </c>
      <c r="C506" s="2">
        <v>45705</v>
      </c>
      <c r="D506" s="3">
        <f t="shared" si="56"/>
        <v>5</v>
      </c>
      <c r="E506" t="s">
        <v>1610</v>
      </c>
      <c r="F506" t="s">
        <v>53</v>
      </c>
      <c r="G506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1611</v>
      </c>
      <c r="N506" t="s">
        <v>59</v>
      </c>
      <c r="O506">
        <v>4</v>
      </c>
      <c r="P506">
        <v>4328.12</v>
      </c>
      <c r="Q506" s="7">
        <v>0</v>
      </c>
      <c r="R506">
        <v>17312.48</v>
      </c>
      <c r="S506">
        <v>14424.22</v>
      </c>
      <c r="T506">
        <v>2888.26</v>
      </c>
      <c r="U506" t="s">
        <v>32</v>
      </c>
      <c r="V506" t="s">
        <v>33</v>
      </c>
      <c r="W506" s="8">
        <f t="shared" si="57"/>
        <v>0</v>
      </c>
      <c r="X506">
        <f t="shared" si="58"/>
        <v>17312.48</v>
      </c>
      <c r="Y506">
        <f t="shared" si="59"/>
        <v>2888.26</v>
      </c>
      <c r="Z506" s="8">
        <f t="shared" si="60"/>
        <v>0.16683109525613893</v>
      </c>
      <c r="AA506" t="str">
        <f t="shared" si="61"/>
        <v>February</v>
      </c>
      <c r="AB506">
        <f t="shared" si="62"/>
        <v>2025</v>
      </c>
      <c r="AC506" t="str">
        <f t="shared" si="63"/>
        <v>Clean</v>
      </c>
    </row>
    <row r="507" spans="1:29">
      <c r="A507" t="s">
        <v>1612</v>
      </c>
      <c r="B507" s="2">
        <v>45605</v>
      </c>
      <c r="C507" s="2">
        <v>45610</v>
      </c>
      <c r="D507" s="3">
        <f t="shared" si="56"/>
        <v>5</v>
      </c>
      <c r="E507" t="s">
        <v>1613</v>
      </c>
      <c r="F507" t="s">
        <v>79</v>
      </c>
      <c r="G507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1614</v>
      </c>
      <c r="N507" t="s">
        <v>50</v>
      </c>
      <c r="O507">
        <v>9</v>
      </c>
      <c r="P507">
        <v>2438.29</v>
      </c>
      <c r="Q507" s="6">
        <v>0.2</v>
      </c>
      <c r="R507">
        <v>17555.689999999999</v>
      </c>
      <c r="S507">
        <v>13293.2</v>
      </c>
      <c r="T507">
        <v>4262.49</v>
      </c>
      <c r="U507" t="s">
        <v>32</v>
      </c>
      <c r="V507" t="s">
        <v>68</v>
      </c>
      <c r="W507" s="8">
        <f t="shared" si="57"/>
        <v>0.2</v>
      </c>
      <c r="X507">
        <f t="shared" si="58"/>
        <v>17555.688000000002</v>
      </c>
      <c r="Y507">
        <f t="shared" si="59"/>
        <v>4262.4880000000012</v>
      </c>
      <c r="Z507" s="8">
        <f t="shared" si="60"/>
        <v>0.24279811762432785</v>
      </c>
      <c r="AA507" t="str">
        <f t="shared" si="61"/>
        <v>November</v>
      </c>
      <c r="AB507">
        <f t="shared" si="62"/>
        <v>2024</v>
      </c>
      <c r="AC507" t="str">
        <f t="shared" si="63"/>
        <v>Clean</v>
      </c>
    </row>
    <row r="508" spans="1:29">
      <c r="A508" t="s">
        <v>1615</v>
      </c>
      <c r="B508" s="2">
        <v>45641</v>
      </c>
      <c r="C508" s="2">
        <v>45641</v>
      </c>
      <c r="D508" s="3">
        <f t="shared" si="56"/>
        <v>0</v>
      </c>
      <c r="E508" t="s">
        <v>1616</v>
      </c>
      <c r="F508" t="s">
        <v>128</v>
      </c>
      <c r="G508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1617</v>
      </c>
      <c r="N508" t="s">
        <v>50</v>
      </c>
      <c r="O508">
        <v>2</v>
      </c>
      <c r="P508">
        <v>669.8</v>
      </c>
      <c r="Q508" s="6">
        <v>0.1</v>
      </c>
      <c r="R508">
        <v>1205.6400000000001</v>
      </c>
      <c r="S508">
        <v>842.07</v>
      </c>
      <c r="T508">
        <v>363.57</v>
      </c>
      <c r="U508" t="s">
        <v>102</v>
      </c>
      <c r="V508" t="s">
        <v>103</v>
      </c>
      <c r="W508" s="8">
        <f t="shared" si="57"/>
        <v>0.1</v>
      </c>
      <c r="X508">
        <f t="shared" si="58"/>
        <v>1205.6399999999999</v>
      </c>
      <c r="Y508">
        <f t="shared" si="59"/>
        <v>363.56999999999982</v>
      </c>
      <c r="Z508" s="8">
        <f t="shared" si="60"/>
        <v>0.30155767890912699</v>
      </c>
      <c r="AA508" t="str">
        <f t="shared" si="61"/>
        <v>December</v>
      </c>
      <c r="AB508">
        <f t="shared" si="62"/>
        <v>2024</v>
      </c>
      <c r="AC508" t="str">
        <f t="shared" si="63"/>
        <v>Clean</v>
      </c>
    </row>
    <row r="509" spans="1:29">
      <c r="A509" t="s">
        <v>1618</v>
      </c>
      <c r="B509" s="2">
        <v>45762</v>
      </c>
      <c r="C509" s="2">
        <v>45769</v>
      </c>
      <c r="D509" s="3">
        <f t="shared" si="56"/>
        <v>7</v>
      </c>
      <c r="E509" t="s">
        <v>1619</v>
      </c>
      <c r="F509" t="s">
        <v>47</v>
      </c>
      <c r="G509" t="s">
        <v>37</v>
      </c>
      <c r="H509" t="s">
        <v>25</v>
      </c>
      <c r="I509" t="s">
        <v>236</v>
      </c>
      <c r="J509" t="s">
        <v>237</v>
      </c>
      <c r="K509" t="s">
        <v>28</v>
      </c>
      <c r="L509" t="s">
        <v>153</v>
      </c>
      <c r="M509" t="s">
        <v>1620</v>
      </c>
      <c r="N509" t="s">
        <v>44</v>
      </c>
      <c r="O509">
        <v>4</v>
      </c>
      <c r="P509">
        <v>2990.42</v>
      </c>
      <c r="Q509" s="6">
        <v>0.25</v>
      </c>
      <c r="R509">
        <v>8971.26</v>
      </c>
      <c r="S509">
        <v>6814.35</v>
      </c>
      <c r="T509">
        <v>2156.91</v>
      </c>
      <c r="U509" t="s">
        <v>32</v>
      </c>
      <c r="V509" t="s">
        <v>33</v>
      </c>
      <c r="W509" s="8">
        <f t="shared" si="57"/>
        <v>0.25</v>
      </c>
      <c r="X509">
        <f t="shared" si="58"/>
        <v>8971.26</v>
      </c>
      <c r="Y509">
        <f t="shared" si="59"/>
        <v>2156.91</v>
      </c>
      <c r="Z509" s="8">
        <f t="shared" si="60"/>
        <v>0.24042442198754688</v>
      </c>
      <c r="AA509" t="str">
        <f t="shared" si="61"/>
        <v>April</v>
      </c>
      <c r="AB509">
        <f t="shared" si="62"/>
        <v>2025</v>
      </c>
      <c r="AC509" t="str">
        <f t="shared" si="63"/>
        <v>Clean</v>
      </c>
    </row>
    <row r="510" spans="1:29">
      <c r="A510" t="s">
        <v>1621</v>
      </c>
      <c r="B510" s="2">
        <v>45382</v>
      </c>
      <c r="C510" s="2">
        <v>45477</v>
      </c>
      <c r="D510" s="3">
        <f t="shared" si="56"/>
        <v>95</v>
      </c>
      <c r="E510" t="s">
        <v>1622</v>
      </c>
      <c r="F510" t="s">
        <v>47</v>
      </c>
      <c r="G510" t="s">
        <v>37</v>
      </c>
      <c r="H510" t="s">
        <v>25</v>
      </c>
      <c r="I510" t="s">
        <v>236</v>
      </c>
      <c r="J510" t="s">
        <v>237</v>
      </c>
      <c r="K510" t="s">
        <v>74</v>
      </c>
      <c r="L510" t="s">
        <v>274</v>
      </c>
      <c r="M510" t="s">
        <v>1623</v>
      </c>
      <c r="N510" t="s">
        <v>31</v>
      </c>
      <c r="O510">
        <v>4</v>
      </c>
      <c r="P510">
        <v>1831</v>
      </c>
      <c r="Q510" s="7">
        <v>0</v>
      </c>
      <c r="R510">
        <v>7324</v>
      </c>
      <c r="S510">
        <v>4179.63</v>
      </c>
      <c r="T510">
        <v>3144.37</v>
      </c>
      <c r="U510" t="s">
        <v>32</v>
      </c>
      <c r="V510" t="s">
        <v>33</v>
      </c>
      <c r="W510" s="8">
        <f t="shared" si="57"/>
        <v>0</v>
      </c>
      <c r="X510">
        <f t="shared" si="58"/>
        <v>7324</v>
      </c>
      <c r="Y510">
        <f t="shared" si="59"/>
        <v>3144.37</v>
      </c>
      <c r="Z510" s="8">
        <f t="shared" si="60"/>
        <v>0.42932413981430911</v>
      </c>
      <c r="AA510" t="str">
        <f t="shared" si="61"/>
        <v>March</v>
      </c>
      <c r="AB510">
        <f t="shared" si="62"/>
        <v>2024</v>
      </c>
      <c r="AC510" t="str">
        <f t="shared" si="63"/>
        <v>Clean</v>
      </c>
    </row>
    <row r="511" spans="1:29">
      <c r="A511" t="s">
        <v>1624</v>
      </c>
      <c r="B511" s="2">
        <v>45789</v>
      </c>
      <c r="C511" s="2">
        <v>45791</v>
      </c>
      <c r="D511" s="3">
        <f t="shared" si="56"/>
        <v>2</v>
      </c>
      <c r="E511" t="s">
        <v>1625</v>
      </c>
      <c r="F511" t="s">
        <v>79</v>
      </c>
      <c r="G511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274</v>
      </c>
      <c r="M511" t="s">
        <v>1626</v>
      </c>
      <c r="N511" t="s">
        <v>44</v>
      </c>
      <c r="O511">
        <v>8</v>
      </c>
      <c r="P511">
        <v>3631.44</v>
      </c>
      <c r="Q511" s="6">
        <v>0.2</v>
      </c>
      <c r="R511">
        <v>23241.22</v>
      </c>
      <c r="S511">
        <v>17220.900000000001</v>
      </c>
      <c r="T511">
        <v>6020.32</v>
      </c>
      <c r="U511" t="s">
        <v>32</v>
      </c>
      <c r="V511" t="s">
        <v>33</v>
      </c>
      <c r="W511" s="8">
        <f t="shared" si="57"/>
        <v>0.2</v>
      </c>
      <c r="X511">
        <f t="shared" si="58"/>
        <v>23241.216</v>
      </c>
      <c r="Y511">
        <f t="shared" si="59"/>
        <v>6020.3159999999989</v>
      </c>
      <c r="Z511" s="8">
        <f t="shared" si="60"/>
        <v>0.25903618812371948</v>
      </c>
      <c r="AA511" t="str">
        <f t="shared" si="61"/>
        <v>May</v>
      </c>
      <c r="AB511">
        <f t="shared" si="62"/>
        <v>2025</v>
      </c>
      <c r="AC511" t="str">
        <f t="shared" si="63"/>
        <v>Clean</v>
      </c>
    </row>
    <row r="512" spans="1:29">
      <c r="A512" t="s">
        <v>1627</v>
      </c>
      <c r="B512" s="2">
        <v>45583</v>
      </c>
      <c r="C512" s="2">
        <v>45586</v>
      </c>
      <c r="D512" s="3">
        <f t="shared" si="56"/>
        <v>3</v>
      </c>
      <c r="E512" t="s">
        <v>1628</v>
      </c>
      <c r="F512" t="s">
        <v>128</v>
      </c>
      <c r="G512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1629</v>
      </c>
      <c r="N512" t="s">
        <v>31</v>
      </c>
      <c r="O512">
        <v>2</v>
      </c>
      <c r="P512">
        <v>4238.51</v>
      </c>
      <c r="Q512" s="7">
        <v>0</v>
      </c>
      <c r="R512">
        <v>8477.02</v>
      </c>
      <c r="S512">
        <v>6884.96</v>
      </c>
      <c r="T512">
        <v>1592.06</v>
      </c>
      <c r="U512" t="s">
        <v>32</v>
      </c>
      <c r="V512" t="s">
        <v>33</v>
      </c>
      <c r="W512" s="8">
        <f t="shared" si="57"/>
        <v>0</v>
      </c>
      <c r="X512">
        <f t="shared" si="58"/>
        <v>8477.02</v>
      </c>
      <c r="Y512">
        <f t="shared" si="59"/>
        <v>1592.0600000000004</v>
      </c>
      <c r="Z512" s="8">
        <f t="shared" si="60"/>
        <v>0.18780892341884298</v>
      </c>
      <c r="AA512" t="str">
        <f t="shared" si="61"/>
        <v>October</v>
      </c>
      <c r="AB512">
        <f t="shared" si="62"/>
        <v>2024</v>
      </c>
      <c r="AC512" t="str">
        <f t="shared" si="63"/>
        <v>Clean</v>
      </c>
    </row>
    <row r="513" spans="1:29">
      <c r="A513" t="s">
        <v>1630</v>
      </c>
      <c r="B513" s="2">
        <v>45588</v>
      </c>
      <c r="C513" s="2">
        <v>45591</v>
      </c>
      <c r="D513" s="3">
        <f t="shared" si="56"/>
        <v>3</v>
      </c>
      <c r="E513" t="s">
        <v>1631</v>
      </c>
      <c r="F513" t="s">
        <v>132</v>
      </c>
      <c r="G513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1632</v>
      </c>
      <c r="N513" t="s">
        <v>59</v>
      </c>
      <c r="O513">
        <v>9</v>
      </c>
      <c r="P513">
        <v>544.27</v>
      </c>
      <c r="Q513" s="6">
        <v>0.25</v>
      </c>
      <c r="R513">
        <v>3673.82</v>
      </c>
      <c r="S513">
        <v>2088.15</v>
      </c>
      <c r="T513">
        <v>1585.67</v>
      </c>
      <c r="U513" t="s">
        <v>32</v>
      </c>
      <c r="V513" t="s">
        <v>33</v>
      </c>
      <c r="W513" s="8">
        <f t="shared" si="57"/>
        <v>0.25</v>
      </c>
      <c r="X513">
        <f t="shared" si="58"/>
        <v>3673.8225000000002</v>
      </c>
      <c r="Y513">
        <f t="shared" si="59"/>
        <v>1585.6725000000001</v>
      </c>
      <c r="Z513" s="8">
        <f t="shared" si="60"/>
        <v>0.43161380278987349</v>
      </c>
      <c r="AA513" t="str">
        <f t="shared" si="61"/>
        <v>October</v>
      </c>
      <c r="AB513">
        <f t="shared" si="62"/>
        <v>2024</v>
      </c>
      <c r="AC513" t="str">
        <f t="shared" si="63"/>
        <v>Clean</v>
      </c>
    </row>
    <row r="514" spans="1:29">
      <c r="A514" t="s">
        <v>1633</v>
      </c>
      <c r="B514" s="2">
        <v>45718</v>
      </c>
      <c r="C514" s="2">
        <v>45719</v>
      </c>
      <c r="D514" s="3">
        <f t="shared" ref="D514:D577" si="64">C514-B514</f>
        <v>1</v>
      </c>
      <c r="E514" t="s">
        <v>1245</v>
      </c>
      <c r="F514" t="s">
        <v>47</v>
      </c>
      <c r="G514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1634</v>
      </c>
      <c r="N514" t="s">
        <v>31</v>
      </c>
      <c r="O514">
        <v>2</v>
      </c>
      <c r="P514">
        <v>4031.45</v>
      </c>
      <c r="Q514" s="6">
        <v>0.25</v>
      </c>
      <c r="R514">
        <v>6047.17</v>
      </c>
      <c r="S514">
        <v>3368.79</v>
      </c>
      <c r="T514">
        <v>2678.38</v>
      </c>
      <c r="U514" t="s">
        <v>32</v>
      </c>
      <c r="V514" t="s">
        <v>33</v>
      </c>
      <c r="W514" s="8">
        <f t="shared" si="57"/>
        <v>0.25</v>
      </c>
      <c r="X514">
        <f t="shared" si="58"/>
        <v>6047.1749999999993</v>
      </c>
      <c r="Y514">
        <f t="shared" si="59"/>
        <v>2678.3849999999993</v>
      </c>
      <c r="Z514" s="8">
        <f t="shared" si="60"/>
        <v>0.44291508018206843</v>
      </c>
      <c r="AA514" t="str">
        <f t="shared" si="61"/>
        <v>March</v>
      </c>
      <c r="AB514">
        <f t="shared" si="62"/>
        <v>2025</v>
      </c>
      <c r="AC514" t="str">
        <f t="shared" si="63"/>
        <v>Clean</v>
      </c>
    </row>
    <row r="515" spans="1:29">
      <c r="A515" t="s">
        <v>1635</v>
      </c>
      <c r="B515" s="2">
        <v>45835</v>
      </c>
      <c r="C515" s="2">
        <v>45840</v>
      </c>
      <c r="D515" s="3">
        <f t="shared" si="64"/>
        <v>5</v>
      </c>
      <c r="E515" t="s">
        <v>1636</v>
      </c>
      <c r="F515" t="s">
        <v>128</v>
      </c>
      <c r="G51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1637</v>
      </c>
      <c r="N515" t="s">
        <v>50</v>
      </c>
      <c r="O515">
        <v>6</v>
      </c>
      <c r="P515">
        <v>1099.49</v>
      </c>
      <c r="Q515" s="6">
        <v>0.1</v>
      </c>
      <c r="R515">
        <v>6212.38</v>
      </c>
      <c r="S515">
        <v>4088.46</v>
      </c>
      <c r="T515">
        <v>1848.79</v>
      </c>
      <c r="U515" t="s">
        <v>32</v>
      </c>
      <c r="V515" t="s">
        <v>33</v>
      </c>
      <c r="W515" s="8">
        <f t="shared" ref="W515:W578" si="65">Q515</f>
        <v>0.1</v>
      </c>
      <c r="X515">
        <f t="shared" ref="X515:X578" si="66">O515*P515*(1-W515)</f>
        <v>5937.246000000001</v>
      </c>
      <c r="Y515">
        <f t="shared" ref="Y515:Y578" si="67">X515-S515</f>
        <v>1848.786000000001</v>
      </c>
      <c r="Z515" s="8">
        <f t="shared" ref="Z515:Z578" si="68">IF(X515=0,0,Y515/X515)</f>
        <v>0.31138780505304997</v>
      </c>
      <c r="AA515" t="str">
        <f t="shared" ref="AA515:AA578" si="69">TEXT(B515,"mmmm")</f>
        <v>June</v>
      </c>
      <c r="AB515">
        <f t="shared" ref="AB515:AB578" si="70">YEAR(B515)</f>
        <v>2025</v>
      </c>
      <c r="AC515" t="str">
        <f t="shared" ref="AC515:AC578" si="71">IF(Q515&lt;0,"Invalid",IF(D515&lt;0,"Warning","Clean"))</f>
        <v>Clean</v>
      </c>
    </row>
    <row r="516" spans="1:29">
      <c r="A516" t="s">
        <v>1638</v>
      </c>
      <c r="B516" s="2">
        <v>45614</v>
      </c>
      <c r="C516" s="2">
        <v>45618</v>
      </c>
      <c r="D516" s="3">
        <f t="shared" si="64"/>
        <v>4</v>
      </c>
      <c r="E516" t="s">
        <v>1639</v>
      </c>
      <c r="F516" t="s">
        <v>23</v>
      </c>
      <c r="G516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1640</v>
      </c>
      <c r="N516" t="s">
        <v>59</v>
      </c>
      <c r="O516">
        <v>6</v>
      </c>
      <c r="P516">
        <v>3872.94</v>
      </c>
      <c r="Q516" s="6">
        <v>0.1</v>
      </c>
      <c r="R516">
        <v>20913.88</v>
      </c>
      <c r="S516">
        <v>11684.68</v>
      </c>
      <c r="T516">
        <v>9229.2000000000007</v>
      </c>
      <c r="U516" t="s">
        <v>32</v>
      </c>
      <c r="V516" t="s">
        <v>33</v>
      </c>
      <c r="W516" s="8">
        <f t="shared" si="65"/>
        <v>0.1</v>
      </c>
      <c r="X516">
        <f t="shared" si="66"/>
        <v>20913.876</v>
      </c>
      <c r="Y516">
        <f t="shared" si="67"/>
        <v>9229.1959999999999</v>
      </c>
      <c r="Z516" s="8">
        <f t="shared" si="68"/>
        <v>0.44129533903710627</v>
      </c>
      <c r="AA516" t="str">
        <f t="shared" si="69"/>
        <v>November</v>
      </c>
      <c r="AB516">
        <f t="shared" si="70"/>
        <v>2024</v>
      </c>
      <c r="AC516" t="str">
        <f t="shared" si="71"/>
        <v>Clean</v>
      </c>
    </row>
    <row r="517" spans="1:29">
      <c r="A517" t="s">
        <v>1641</v>
      </c>
      <c r="B517" s="2">
        <v>45758</v>
      </c>
      <c r="C517" s="2">
        <v>45758</v>
      </c>
      <c r="D517" s="3">
        <f t="shared" si="64"/>
        <v>0</v>
      </c>
      <c r="E517" t="s">
        <v>1642</v>
      </c>
      <c r="F517" t="s">
        <v>118</v>
      </c>
      <c r="G517" t="s">
        <v>90</v>
      </c>
      <c r="H517" t="s">
        <v>25</v>
      </c>
      <c r="I517" t="s">
        <v>350</v>
      </c>
      <c r="J517" t="s">
        <v>351</v>
      </c>
      <c r="K517" t="s">
        <v>28</v>
      </c>
      <c r="L517" t="s">
        <v>29</v>
      </c>
      <c r="M517" t="s">
        <v>1643</v>
      </c>
      <c r="N517" t="s">
        <v>59</v>
      </c>
      <c r="O517">
        <v>1</v>
      </c>
      <c r="P517">
        <v>4458.49</v>
      </c>
      <c r="Q517" s="7">
        <v>-7.0000000000000007E-2</v>
      </c>
      <c r="R517">
        <v>3566.79</v>
      </c>
      <c r="S517">
        <v>2083.41</v>
      </c>
      <c r="T517">
        <v>1483.38</v>
      </c>
      <c r="U517" t="s">
        <v>32</v>
      </c>
      <c r="V517" t="s">
        <v>33</v>
      </c>
      <c r="W517" s="8">
        <f t="shared" si="65"/>
        <v>-7.0000000000000007E-2</v>
      </c>
      <c r="X517">
        <f t="shared" si="66"/>
        <v>4770.5843000000004</v>
      </c>
      <c r="Y517">
        <f t="shared" si="67"/>
        <v>2687.1743000000006</v>
      </c>
      <c r="Z517" s="8">
        <f t="shared" si="68"/>
        <v>0.56327991101635089</v>
      </c>
      <c r="AA517" t="str">
        <f t="shared" si="69"/>
        <v>April</v>
      </c>
      <c r="AB517">
        <f t="shared" si="70"/>
        <v>2025</v>
      </c>
      <c r="AC517" t="str">
        <f t="shared" si="71"/>
        <v>Invalid</v>
      </c>
    </row>
    <row r="518" spans="1:29">
      <c r="A518" t="s">
        <v>1644</v>
      </c>
      <c r="B518" s="2">
        <v>45563</v>
      </c>
      <c r="C518" s="2">
        <v>45569</v>
      </c>
      <c r="D518" s="3">
        <f t="shared" si="64"/>
        <v>6</v>
      </c>
      <c r="E518" t="s">
        <v>1645</v>
      </c>
      <c r="F518" t="s">
        <v>264</v>
      </c>
      <c r="G518" t="s">
        <v>95</v>
      </c>
      <c r="H518" t="s">
        <v>25</v>
      </c>
      <c r="I518" t="s">
        <v>350</v>
      </c>
      <c r="J518" t="s">
        <v>351</v>
      </c>
      <c r="K518" t="s">
        <v>74</v>
      </c>
      <c r="L518" t="s">
        <v>80</v>
      </c>
      <c r="M518" t="s">
        <v>1646</v>
      </c>
      <c r="N518" t="s">
        <v>59</v>
      </c>
      <c r="O518">
        <v>1</v>
      </c>
      <c r="P518">
        <v>2233.1799999999998</v>
      </c>
      <c r="Q518" s="7">
        <v>0</v>
      </c>
      <c r="R518">
        <v>2233.1799999999998</v>
      </c>
      <c r="S518">
        <v>1585.82</v>
      </c>
      <c r="T518">
        <v>647.36</v>
      </c>
      <c r="U518" t="s">
        <v>155</v>
      </c>
      <c r="V518" t="s">
        <v>103</v>
      </c>
      <c r="W518" s="8">
        <f t="shared" si="65"/>
        <v>0</v>
      </c>
      <c r="X518">
        <f t="shared" si="66"/>
        <v>2233.1799999999998</v>
      </c>
      <c r="Y518">
        <f t="shared" si="67"/>
        <v>647.3599999999999</v>
      </c>
      <c r="Z518" s="8">
        <f t="shared" si="68"/>
        <v>0.28988258895386843</v>
      </c>
      <c r="AA518" t="str">
        <f t="shared" si="69"/>
        <v>September</v>
      </c>
      <c r="AB518">
        <f t="shared" si="70"/>
        <v>2024</v>
      </c>
      <c r="AC518" t="str">
        <f t="shared" si="71"/>
        <v>Clean</v>
      </c>
    </row>
    <row r="519" spans="1:29">
      <c r="A519" t="s">
        <v>1647</v>
      </c>
      <c r="B519" s="2">
        <v>45802</v>
      </c>
      <c r="C519" s="2">
        <v>45804</v>
      </c>
      <c r="D519" s="3">
        <f t="shared" si="64"/>
        <v>2</v>
      </c>
      <c r="E519" t="s">
        <v>1648</v>
      </c>
      <c r="F519" t="s">
        <v>118</v>
      </c>
      <c r="G519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1649</v>
      </c>
      <c r="N519" t="s">
        <v>31</v>
      </c>
      <c r="O519">
        <v>7</v>
      </c>
      <c r="P519">
        <v>2123.2800000000002</v>
      </c>
      <c r="Q519" s="6">
        <v>0.2</v>
      </c>
      <c r="R519">
        <v>11890.37</v>
      </c>
      <c r="S519">
        <v>9234.5300000000007</v>
      </c>
      <c r="T519">
        <v>2655.84</v>
      </c>
      <c r="U519" t="s">
        <v>102</v>
      </c>
      <c r="V519" t="s">
        <v>103</v>
      </c>
      <c r="W519" s="8">
        <f t="shared" si="65"/>
        <v>0.2</v>
      </c>
      <c r="X519">
        <f t="shared" si="66"/>
        <v>11890.368000000002</v>
      </c>
      <c r="Y519">
        <f t="shared" si="67"/>
        <v>2655.8380000000016</v>
      </c>
      <c r="Z519" s="8">
        <f t="shared" si="68"/>
        <v>0.22336045444514427</v>
      </c>
      <c r="AA519" t="str">
        <f t="shared" si="69"/>
        <v>May</v>
      </c>
      <c r="AB519">
        <f t="shared" si="70"/>
        <v>2025</v>
      </c>
      <c r="AC519" t="str">
        <f t="shared" si="71"/>
        <v>Clean</v>
      </c>
    </row>
    <row r="520" spans="1:29">
      <c r="A520" t="s">
        <v>1650</v>
      </c>
      <c r="B520" s="2">
        <v>45777</v>
      </c>
      <c r="C520" s="2">
        <v>45773</v>
      </c>
      <c r="D520" s="5">
        <f t="shared" si="64"/>
        <v>-4</v>
      </c>
      <c r="E520" t="s">
        <v>1651</v>
      </c>
      <c r="F520" t="s">
        <v>162</v>
      </c>
      <c r="G520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1652</v>
      </c>
      <c r="N520" t="s">
        <v>50</v>
      </c>
      <c r="O520">
        <v>7</v>
      </c>
      <c r="P520">
        <v>1604.13</v>
      </c>
      <c r="Q520" s="6">
        <v>0.25</v>
      </c>
      <c r="R520">
        <v>8421.68</v>
      </c>
      <c r="S520">
        <v>6534.47</v>
      </c>
      <c r="T520">
        <v>1887.21</v>
      </c>
      <c r="U520" t="s">
        <v>32</v>
      </c>
      <c r="V520" t="s">
        <v>68</v>
      </c>
      <c r="W520" s="8">
        <f t="shared" si="65"/>
        <v>0.25</v>
      </c>
      <c r="X520">
        <f t="shared" si="66"/>
        <v>8421.682499999999</v>
      </c>
      <c r="Y520">
        <f t="shared" si="67"/>
        <v>1887.2124999999987</v>
      </c>
      <c r="Z520" s="8">
        <f t="shared" si="68"/>
        <v>0.22408972316398759</v>
      </c>
      <c r="AA520" t="str">
        <f t="shared" si="69"/>
        <v>April</v>
      </c>
      <c r="AB520">
        <f t="shared" si="70"/>
        <v>2025</v>
      </c>
      <c r="AC520" t="str">
        <f t="shared" si="71"/>
        <v>Warning</v>
      </c>
    </row>
    <row r="521" spans="1:29">
      <c r="A521" t="s">
        <v>1653</v>
      </c>
      <c r="B521" s="2">
        <v>45723</v>
      </c>
      <c r="C521" s="2">
        <v>45845</v>
      </c>
      <c r="D521" s="3">
        <f t="shared" si="64"/>
        <v>122</v>
      </c>
      <c r="E521" t="s">
        <v>1654</v>
      </c>
      <c r="F521" t="s">
        <v>114</v>
      </c>
      <c r="G521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1655</v>
      </c>
      <c r="N521" t="s">
        <v>59</v>
      </c>
      <c r="O521">
        <v>4</v>
      </c>
      <c r="P521">
        <v>4365.21</v>
      </c>
      <c r="Q521" s="6">
        <v>0.2</v>
      </c>
      <c r="R521">
        <v>13968.67</v>
      </c>
      <c r="S521">
        <v>8857.58</v>
      </c>
      <c r="T521">
        <v>5111.09</v>
      </c>
      <c r="U521" t="s">
        <v>111</v>
      </c>
      <c r="V521" t="s">
        <v>68</v>
      </c>
      <c r="W521" s="8">
        <f t="shared" si="65"/>
        <v>0.2</v>
      </c>
      <c r="X521">
        <f t="shared" si="66"/>
        <v>13968.672</v>
      </c>
      <c r="Y521">
        <f t="shared" si="67"/>
        <v>5111.0920000000006</v>
      </c>
      <c r="Z521" s="8">
        <f t="shared" si="68"/>
        <v>0.36589677243477409</v>
      </c>
      <c r="AA521" t="str">
        <f t="shared" si="69"/>
        <v>March</v>
      </c>
      <c r="AB521">
        <f t="shared" si="70"/>
        <v>2025</v>
      </c>
      <c r="AC521" t="str">
        <f t="shared" si="71"/>
        <v>Clean</v>
      </c>
    </row>
    <row r="522" spans="1:29">
      <c r="A522" t="s">
        <v>1656</v>
      </c>
      <c r="B522" s="2">
        <v>45489</v>
      </c>
      <c r="C522" s="2">
        <v>45496</v>
      </c>
      <c r="D522" s="3">
        <f t="shared" si="64"/>
        <v>7</v>
      </c>
      <c r="E522" t="s">
        <v>1657</v>
      </c>
      <c r="F522" t="s">
        <v>128</v>
      </c>
      <c r="G522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274</v>
      </c>
      <c r="M522" t="s">
        <v>1658</v>
      </c>
      <c r="N522" t="s">
        <v>44</v>
      </c>
      <c r="O522">
        <v>1</v>
      </c>
      <c r="P522">
        <v>1695.91</v>
      </c>
      <c r="Q522" s="6">
        <v>0.05</v>
      </c>
      <c r="R522">
        <v>1611.11</v>
      </c>
      <c r="S522">
        <v>895.15</v>
      </c>
      <c r="T522">
        <v>715.96</v>
      </c>
      <c r="U522" t="s">
        <v>32</v>
      </c>
      <c r="V522" t="s">
        <v>33</v>
      </c>
      <c r="W522" s="8">
        <f t="shared" si="65"/>
        <v>0.05</v>
      </c>
      <c r="X522">
        <f t="shared" si="66"/>
        <v>1611.1144999999999</v>
      </c>
      <c r="Y522">
        <f t="shared" si="67"/>
        <v>715.96449999999993</v>
      </c>
      <c r="Z522" s="8">
        <f t="shared" si="68"/>
        <v>0.44439082386757739</v>
      </c>
      <c r="AA522" t="str">
        <f t="shared" si="69"/>
        <v>July</v>
      </c>
      <c r="AB522">
        <f t="shared" si="70"/>
        <v>2024</v>
      </c>
      <c r="AC522" t="str">
        <f t="shared" si="71"/>
        <v>Clean</v>
      </c>
    </row>
    <row r="523" spans="1:29">
      <c r="A523" t="s">
        <v>1659</v>
      </c>
      <c r="B523" s="2">
        <v>45741</v>
      </c>
      <c r="C523" s="2">
        <v>45748</v>
      </c>
      <c r="D523" s="3">
        <f t="shared" si="64"/>
        <v>7</v>
      </c>
      <c r="E523" t="s">
        <v>1660</v>
      </c>
      <c r="F523" t="s">
        <v>162</v>
      </c>
      <c r="G523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1661</v>
      </c>
      <c r="N523" t="s">
        <v>31</v>
      </c>
      <c r="O523">
        <v>6</v>
      </c>
      <c r="P523">
        <v>2192.11</v>
      </c>
      <c r="Q523" s="6">
        <v>0.05</v>
      </c>
      <c r="R523">
        <v>12495.03</v>
      </c>
      <c r="S523">
        <v>9184.52</v>
      </c>
      <c r="T523">
        <v>3310.51</v>
      </c>
      <c r="U523" t="s">
        <v>32</v>
      </c>
      <c r="V523" t="s">
        <v>33</v>
      </c>
      <c r="W523" s="8">
        <f t="shared" si="65"/>
        <v>0.05</v>
      </c>
      <c r="X523">
        <f t="shared" si="66"/>
        <v>12495.027</v>
      </c>
      <c r="Y523">
        <f t="shared" si="67"/>
        <v>3310.5069999999996</v>
      </c>
      <c r="Z523" s="8">
        <f t="shared" si="68"/>
        <v>0.26494596610315446</v>
      </c>
      <c r="AA523" t="str">
        <f t="shared" si="69"/>
        <v>March</v>
      </c>
      <c r="AB523">
        <f t="shared" si="70"/>
        <v>2025</v>
      </c>
      <c r="AC523" t="str">
        <f t="shared" si="71"/>
        <v>Clean</v>
      </c>
    </row>
    <row r="524" spans="1:29">
      <c r="A524" t="s">
        <v>1662</v>
      </c>
      <c r="B524" s="2">
        <v>45716</v>
      </c>
      <c r="C524" s="2">
        <v>45724</v>
      </c>
      <c r="D524" s="3">
        <f t="shared" si="64"/>
        <v>8</v>
      </c>
      <c r="E524" t="s">
        <v>1663</v>
      </c>
      <c r="F524" t="s">
        <v>79</v>
      </c>
      <c r="G524" t="s">
        <v>37</v>
      </c>
      <c r="H524" t="s">
        <v>38</v>
      </c>
      <c r="I524" t="s">
        <v>228</v>
      </c>
      <c r="J524" t="s">
        <v>229</v>
      </c>
      <c r="K524" t="s">
        <v>74</v>
      </c>
      <c r="L524" t="s">
        <v>171</v>
      </c>
      <c r="M524" t="s">
        <v>1664</v>
      </c>
      <c r="N524" t="s">
        <v>50</v>
      </c>
      <c r="O524">
        <v>9</v>
      </c>
      <c r="P524">
        <v>3670.54</v>
      </c>
      <c r="Q524" s="7">
        <v>0</v>
      </c>
      <c r="R524">
        <v>33034.86</v>
      </c>
      <c r="S524">
        <v>24539.83</v>
      </c>
      <c r="T524">
        <v>8495.0300000000007</v>
      </c>
      <c r="U524" t="s">
        <v>32</v>
      </c>
      <c r="V524" t="s">
        <v>33</v>
      </c>
      <c r="W524" s="8">
        <f t="shared" si="65"/>
        <v>0</v>
      </c>
      <c r="X524">
        <f t="shared" si="66"/>
        <v>33034.86</v>
      </c>
      <c r="Y524">
        <f t="shared" si="67"/>
        <v>8495.0299999999988</v>
      </c>
      <c r="Z524" s="8">
        <f t="shared" si="68"/>
        <v>0.25715350390466307</v>
      </c>
      <c r="AA524" t="str">
        <f t="shared" si="69"/>
        <v>February</v>
      </c>
      <c r="AB524">
        <f t="shared" si="70"/>
        <v>2025</v>
      </c>
      <c r="AC524" t="str">
        <f t="shared" si="71"/>
        <v>Clean</v>
      </c>
    </row>
    <row r="525" spans="1:29">
      <c r="A525" t="s">
        <v>1665</v>
      </c>
      <c r="B525" s="2">
        <v>45326</v>
      </c>
      <c r="C525" s="2">
        <v>45385</v>
      </c>
      <c r="D525" s="3">
        <f t="shared" si="64"/>
        <v>59</v>
      </c>
      <c r="E525" t="s">
        <v>1666</v>
      </c>
      <c r="F525" t="s">
        <v>264</v>
      </c>
      <c r="G52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1667</v>
      </c>
      <c r="N525" t="s">
        <v>31</v>
      </c>
      <c r="O525">
        <v>2</v>
      </c>
      <c r="P525">
        <v>2902.63</v>
      </c>
      <c r="Q525" s="7">
        <v>0</v>
      </c>
      <c r="R525">
        <v>5805.26</v>
      </c>
      <c r="S525">
        <v>4654.3599999999997</v>
      </c>
      <c r="T525">
        <v>1150.9000000000001</v>
      </c>
      <c r="U525" t="s">
        <v>32</v>
      </c>
      <c r="V525" t="s">
        <v>103</v>
      </c>
      <c r="W525" s="8">
        <f t="shared" si="65"/>
        <v>0</v>
      </c>
      <c r="X525">
        <f t="shared" si="66"/>
        <v>5805.26</v>
      </c>
      <c r="Y525">
        <f t="shared" si="67"/>
        <v>1150.9000000000005</v>
      </c>
      <c r="Z525" s="8">
        <f t="shared" si="68"/>
        <v>0.19825124111581574</v>
      </c>
      <c r="AA525" t="str">
        <f t="shared" si="69"/>
        <v>February</v>
      </c>
      <c r="AB525">
        <f t="shared" si="70"/>
        <v>2024</v>
      </c>
      <c r="AC525" t="str">
        <f t="shared" si="71"/>
        <v>Clean</v>
      </c>
    </row>
    <row r="526" spans="1:29">
      <c r="A526" t="s">
        <v>1668</v>
      </c>
      <c r="B526" s="2">
        <v>45626</v>
      </c>
      <c r="C526" s="2">
        <v>45627</v>
      </c>
      <c r="D526" s="3">
        <f t="shared" si="64"/>
        <v>1</v>
      </c>
      <c r="E526" t="s">
        <v>1669</v>
      </c>
      <c r="F526" t="s">
        <v>62</v>
      </c>
      <c r="G526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1670</v>
      </c>
      <c r="N526" t="s">
        <v>50</v>
      </c>
      <c r="O526">
        <v>9</v>
      </c>
      <c r="P526">
        <v>4207.3599999999997</v>
      </c>
      <c r="Q526" s="6">
        <v>0.1</v>
      </c>
      <c r="R526">
        <v>34079.620000000003</v>
      </c>
      <c r="S526">
        <v>21871.39</v>
      </c>
      <c r="T526">
        <v>12208.23</v>
      </c>
      <c r="U526" t="s">
        <v>32</v>
      </c>
      <c r="V526" t="s">
        <v>33</v>
      </c>
      <c r="W526" s="8">
        <f t="shared" si="65"/>
        <v>0.1</v>
      </c>
      <c r="X526">
        <f t="shared" si="66"/>
        <v>34079.616000000002</v>
      </c>
      <c r="Y526">
        <f t="shared" si="67"/>
        <v>12208.226000000002</v>
      </c>
      <c r="Z526" s="8">
        <f t="shared" si="68"/>
        <v>0.35822663025311091</v>
      </c>
      <c r="AA526" t="str">
        <f t="shared" si="69"/>
        <v>November</v>
      </c>
      <c r="AB526">
        <f t="shared" si="70"/>
        <v>2024</v>
      </c>
      <c r="AC526" t="str">
        <f t="shared" si="71"/>
        <v>Clean</v>
      </c>
    </row>
    <row r="527" spans="1:29">
      <c r="A527" t="s">
        <v>1671</v>
      </c>
      <c r="B527" s="2">
        <v>45582</v>
      </c>
      <c r="C527" s="2">
        <v>45582</v>
      </c>
      <c r="D527" s="3">
        <f t="shared" si="64"/>
        <v>0</v>
      </c>
      <c r="E527" t="s">
        <v>1672</v>
      </c>
      <c r="F527" t="s">
        <v>114</v>
      </c>
      <c r="G527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1673</v>
      </c>
      <c r="N527" t="s">
        <v>59</v>
      </c>
      <c r="O527">
        <v>5</v>
      </c>
      <c r="P527">
        <v>2524.4</v>
      </c>
      <c r="Q527" s="6">
        <v>0.1</v>
      </c>
      <c r="R527">
        <v>11359.8</v>
      </c>
      <c r="S527">
        <v>7062.44</v>
      </c>
      <c r="T527">
        <v>4297.3599999999997</v>
      </c>
      <c r="U527" t="s">
        <v>32</v>
      </c>
      <c r="V527" t="s">
        <v>33</v>
      </c>
      <c r="W527" s="8">
        <f t="shared" si="65"/>
        <v>0.1</v>
      </c>
      <c r="X527">
        <f t="shared" si="66"/>
        <v>11359.800000000001</v>
      </c>
      <c r="Y527">
        <f t="shared" si="67"/>
        <v>4297.3600000000015</v>
      </c>
      <c r="Z527" s="8">
        <f t="shared" si="68"/>
        <v>0.37829539252451638</v>
      </c>
      <c r="AA527" t="str">
        <f t="shared" si="69"/>
        <v>October</v>
      </c>
      <c r="AB527">
        <f t="shared" si="70"/>
        <v>2024</v>
      </c>
      <c r="AC527" t="str">
        <f t="shared" si="71"/>
        <v>Clean</v>
      </c>
    </row>
    <row r="528" spans="1:29">
      <c r="A528" t="s">
        <v>1674</v>
      </c>
      <c r="B528" s="2">
        <v>45856</v>
      </c>
      <c r="C528" s="2">
        <v>45859</v>
      </c>
      <c r="D528" s="3">
        <f t="shared" si="64"/>
        <v>3</v>
      </c>
      <c r="E528" t="s">
        <v>1675</v>
      </c>
      <c r="F528" t="s">
        <v>114</v>
      </c>
      <c r="G528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1676</v>
      </c>
      <c r="N528" t="s">
        <v>31</v>
      </c>
      <c r="O528">
        <v>4</v>
      </c>
      <c r="P528">
        <v>284.04000000000002</v>
      </c>
      <c r="Q528" s="7">
        <v>0</v>
      </c>
      <c r="R528">
        <v>908.93</v>
      </c>
      <c r="S528">
        <v>572.08000000000004</v>
      </c>
      <c r="T528">
        <v>336.85</v>
      </c>
      <c r="U528" t="s">
        <v>32</v>
      </c>
      <c r="V528" t="s">
        <v>33</v>
      </c>
      <c r="W528" s="8">
        <f t="shared" si="65"/>
        <v>0</v>
      </c>
      <c r="X528">
        <f t="shared" si="66"/>
        <v>1136.1600000000001</v>
      </c>
      <c r="Y528">
        <f t="shared" si="67"/>
        <v>564.08000000000004</v>
      </c>
      <c r="Z528" s="8">
        <f t="shared" si="68"/>
        <v>0.49647936910294327</v>
      </c>
      <c r="AA528" t="str">
        <f t="shared" si="69"/>
        <v>July</v>
      </c>
      <c r="AB528">
        <f t="shared" si="70"/>
        <v>2025</v>
      </c>
      <c r="AC528" t="str">
        <f t="shared" si="71"/>
        <v>Clean</v>
      </c>
    </row>
    <row r="529" spans="1:29">
      <c r="A529" t="s">
        <v>1677</v>
      </c>
      <c r="B529" s="2">
        <v>45667</v>
      </c>
      <c r="C529" s="2">
        <v>45935</v>
      </c>
      <c r="D529" s="3">
        <f t="shared" si="64"/>
        <v>268</v>
      </c>
      <c r="E529" t="s">
        <v>1678</v>
      </c>
      <c r="F529" t="s">
        <v>89</v>
      </c>
      <c r="G529" t="s">
        <v>95</v>
      </c>
      <c r="H529" t="s">
        <v>25</v>
      </c>
      <c r="I529" t="s">
        <v>236</v>
      </c>
      <c r="J529" t="s">
        <v>237</v>
      </c>
      <c r="K529" t="s">
        <v>28</v>
      </c>
      <c r="L529" t="s">
        <v>29</v>
      </c>
      <c r="M529" t="s">
        <v>1679</v>
      </c>
      <c r="N529" t="s">
        <v>50</v>
      </c>
      <c r="O529">
        <v>5</v>
      </c>
      <c r="P529">
        <v>3247.56</v>
      </c>
      <c r="Q529" s="6">
        <v>0.15</v>
      </c>
      <c r="R529">
        <v>13802.13</v>
      </c>
      <c r="S529">
        <v>10075.93</v>
      </c>
      <c r="T529">
        <v>3726.2</v>
      </c>
      <c r="U529" t="s">
        <v>32</v>
      </c>
      <c r="V529" t="s">
        <v>33</v>
      </c>
      <c r="W529" s="8">
        <f t="shared" si="65"/>
        <v>0.15</v>
      </c>
      <c r="X529">
        <f t="shared" si="66"/>
        <v>13802.13</v>
      </c>
      <c r="Y529">
        <f t="shared" si="67"/>
        <v>3726.1999999999989</v>
      </c>
      <c r="Z529" s="8">
        <f t="shared" si="68"/>
        <v>0.26997282303528508</v>
      </c>
      <c r="AA529" t="str">
        <f t="shared" si="69"/>
        <v>January</v>
      </c>
      <c r="AB529">
        <f t="shared" si="70"/>
        <v>2025</v>
      </c>
      <c r="AC529" t="str">
        <f t="shared" si="71"/>
        <v>Clean</v>
      </c>
    </row>
    <row r="530" spans="1:29">
      <c r="A530" t="s">
        <v>1680</v>
      </c>
      <c r="B530" s="2">
        <v>45572</v>
      </c>
      <c r="C530" s="2">
        <v>45545</v>
      </c>
      <c r="D530" s="5">
        <f t="shared" si="64"/>
        <v>-27</v>
      </c>
      <c r="E530" t="s">
        <v>1681</v>
      </c>
      <c r="F530" t="s">
        <v>162</v>
      </c>
      <c r="G530" t="s">
        <v>24</v>
      </c>
      <c r="H530" t="s">
        <v>54</v>
      </c>
      <c r="I530" t="s">
        <v>247</v>
      </c>
      <c r="J530" t="s">
        <v>248</v>
      </c>
      <c r="K530" t="s">
        <v>28</v>
      </c>
      <c r="L530" t="s">
        <v>153</v>
      </c>
      <c r="M530" t="s">
        <v>1682</v>
      </c>
      <c r="N530" t="s">
        <v>59</v>
      </c>
      <c r="O530">
        <v>9</v>
      </c>
      <c r="P530">
        <v>3457.09</v>
      </c>
      <c r="Q530" s="6">
        <v>0.05</v>
      </c>
      <c r="R530">
        <v>29558.12</v>
      </c>
      <c r="S530">
        <v>21302.13</v>
      </c>
      <c r="T530">
        <v>8255.99</v>
      </c>
      <c r="U530" t="s">
        <v>111</v>
      </c>
      <c r="V530" t="s">
        <v>103</v>
      </c>
      <c r="W530" s="8">
        <f t="shared" si="65"/>
        <v>0.05</v>
      </c>
      <c r="X530">
        <f t="shared" si="66"/>
        <v>29558.119500000001</v>
      </c>
      <c r="Y530">
        <f t="shared" si="67"/>
        <v>8255.9894999999997</v>
      </c>
      <c r="Z530" s="8">
        <f t="shared" si="68"/>
        <v>0.27931376013281223</v>
      </c>
      <c r="AA530" t="str">
        <f t="shared" si="69"/>
        <v>October</v>
      </c>
      <c r="AB530">
        <f t="shared" si="70"/>
        <v>2024</v>
      </c>
      <c r="AC530" t="str">
        <f t="shared" si="71"/>
        <v>Warning</v>
      </c>
    </row>
    <row r="531" spans="1:29">
      <c r="A531" t="s">
        <v>1683</v>
      </c>
      <c r="B531" s="2">
        <v>45328</v>
      </c>
      <c r="C531" s="2">
        <v>45330</v>
      </c>
      <c r="D531" s="3">
        <f t="shared" si="64"/>
        <v>2</v>
      </c>
      <c r="E531" t="s">
        <v>728</v>
      </c>
      <c r="F531" t="s">
        <v>23</v>
      </c>
      <c r="G531" t="s">
        <v>24</v>
      </c>
      <c r="H531" t="s">
        <v>38</v>
      </c>
      <c r="I531" t="s">
        <v>228</v>
      </c>
      <c r="J531" t="s">
        <v>229</v>
      </c>
      <c r="K531" t="s">
        <v>41</v>
      </c>
      <c r="L531" t="s">
        <v>158</v>
      </c>
      <c r="M531" t="s">
        <v>1684</v>
      </c>
      <c r="N531" t="s">
        <v>31</v>
      </c>
      <c r="O531">
        <v>9</v>
      </c>
      <c r="P531">
        <v>1822.25</v>
      </c>
      <c r="Q531" s="7">
        <v>0</v>
      </c>
      <c r="R531">
        <v>16400.25</v>
      </c>
      <c r="S531">
        <v>12146.96</v>
      </c>
      <c r="T531">
        <v>4253.29</v>
      </c>
      <c r="U531" t="s">
        <v>32</v>
      </c>
      <c r="V531" t="s">
        <v>33</v>
      </c>
      <c r="W531" s="8">
        <f t="shared" si="65"/>
        <v>0</v>
      </c>
      <c r="X531">
        <f t="shared" si="66"/>
        <v>16400.25</v>
      </c>
      <c r="Y531">
        <f t="shared" si="67"/>
        <v>4253.2900000000009</v>
      </c>
      <c r="Z531" s="8">
        <f t="shared" si="68"/>
        <v>0.25934299782015524</v>
      </c>
      <c r="AA531" t="str">
        <f t="shared" si="69"/>
        <v>February</v>
      </c>
      <c r="AB531">
        <f t="shared" si="70"/>
        <v>2024</v>
      </c>
      <c r="AC531" t="str">
        <f t="shared" si="71"/>
        <v>Clean</v>
      </c>
    </row>
    <row r="532" spans="1:29">
      <c r="A532" t="s">
        <v>1685</v>
      </c>
      <c r="B532" s="2">
        <v>45807</v>
      </c>
      <c r="C532" s="2">
        <v>45809</v>
      </c>
      <c r="D532" s="3">
        <f t="shared" si="64"/>
        <v>2</v>
      </c>
      <c r="E532" t="s">
        <v>1686</v>
      </c>
      <c r="F532" t="s">
        <v>118</v>
      </c>
      <c r="G532" t="s">
        <v>95</v>
      </c>
      <c r="H532" t="s">
        <v>54</v>
      </c>
      <c r="I532" t="s">
        <v>247</v>
      </c>
      <c r="J532" t="s">
        <v>248</v>
      </c>
      <c r="K532" t="s">
        <v>28</v>
      </c>
      <c r="L532" t="s">
        <v>153</v>
      </c>
      <c r="M532" t="s">
        <v>1687</v>
      </c>
      <c r="N532" t="s">
        <v>59</v>
      </c>
      <c r="O532">
        <v>9</v>
      </c>
      <c r="P532">
        <v>1994.51</v>
      </c>
      <c r="Q532" s="6">
        <v>0.05</v>
      </c>
      <c r="R532">
        <v>17053.060000000001</v>
      </c>
      <c r="S532">
        <v>10742.38</v>
      </c>
      <c r="T532">
        <v>6310.68</v>
      </c>
      <c r="U532" t="s">
        <v>32</v>
      </c>
      <c r="V532" t="s">
        <v>33</v>
      </c>
      <c r="W532" s="8">
        <f t="shared" si="65"/>
        <v>0.05</v>
      </c>
      <c r="X532">
        <f t="shared" si="66"/>
        <v>17053.0605</v>
      </c>
      <c r="Y532">
        <f t="shared" si="67"/>
        <v>6310.6805000000004</v>
      </c>
      <c r="Z532" s="8">
        <f t="shared" si="68"/>
        <v>0.37006146198801093</v>
      </c>
      <c r="AA532" t="str">
        <f t="shared" si="69"/>
        <v>May</v>
      </c>
      <c r="AB532">
        <f t="shared" si="70"/>
        <v>2025</v>
      </c>
      <c r="AC532" t="str">
        <f t="shared" si="71"/>
        <v>Clean</v>
      </c>
    </row>
    <row r="533" spans="1:29">
      <c r="A533" t="s">
        <v>1688</v>
      </c>
      <c r="B533" s="2">
        <v>45505</v>
      </c>
      <c r="C533" s="2">
        <v>45512</v>
      </c>
      <c r="D533" s="3">
        <f t="shared" si="64"/>
        <v>7</v>
      </c>
      <c r="E533" t="s">
        <v>1689</v>
      </c>
      <c r="F533" t="s">
        <v>162</v>
      </c>
      <c r="G533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1690</v>
      </c>
      <c r="N533" s="4" t="s">
        <v>2760</v>
      </c>
      <c r="O533">
        <v>1</v>
      </c>
      <c r="P533">
        <v>442.97</v>
      </c>
      <c r="Q533" s="6">
        <v>0.1</v>
      </c>
      <c r="R533">
        <v>398.67</v>
      </c>
      <c r="S533">
        <v>311.66000000000003</v>
      </c>
      <c r="T533">
        <v>87.01</v>
      </c>
      <c r="U533" t="s">
        <v>32</v>
      </c>
      <c r="V533" t="s">
        <v>33</v>
      </c>
      <c r="W533" s="8">
        <f t="shared" si="65"/>
        <v>0.1</v>
      </c>
      <c r="X533">
        <f t="shared" si="66"/>
        <v>398.67300000000006</v>
      </c>
      <c r="Y533">
        <f t="shared" si="67"/>
        <v>87.013000000000034</v>
      </c>
      <c r="Z533" s="8">
        <f t="shared" si="68"/>
        <v>0.21825656615822997</v>
      </c>
      <c r="AA533" t="str">
        <f t="shared" si="69"/>
        <v>August</v>
      </c>
      <c r="AB533">
        <f t="shared" si="70"/>
        <v>2024</v>
      </c>
      <c r="AC533" t="str">
        <f t="shared" si="71"/>
        <v>Clean</v>
      </c>
    </row>
    <row r="534" spans="1:29">
      <c r="A534" t="s">
        <v>1691</v>
      </c>
      <c r="B534" s="2">
        <v>45935</v>
      </c>
      <c r="C534" s="2">
        <v>45940</v>
      </c>
      <c r="D534" s="3">
        <f t="shared" si="64"/>
        <v>5</v>
      </c>
      <c r="E534" t="s">
        <v>1692</v>
      </c>
      <c r="F534" t="s">
        <v>114</v>
      </c>
      <c r="G534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1693</v>
      </c>
      <c r="N534" t="s">
        <v>31</v>
      </c>
      <c r="O534">
        <v>9</v>
      </c>
      <c r="P534">
        <v>2089.14</v>
      </c>
      <c r="Q534" s="6">
        <v>0.05</v>
      </c>
      <c r="R534">
        <v>17862.150000000001</v>
      </c>
      <c r="S534">
        <v>9892.2099999999991</v>
      </c>
      <c r="T534">
        <v>7969.94</v>
      </c>
      <c r="U534" t="s">
        <v>155</v>
      </c>
      <c r="V534" t="s">
        <v>68</v>
      </c>
      <c r="W534" s="8">
        <f t="shared" si="65"/>
        <v>0.05</v>
      </c>
      <c r="X534">
        <f t="shared" si="66"/>
        <v>17862.146999999997</v>
      </c>
      <c r="Y534">
        <f t="shared" si="67"/>
        <v>7969.9369999999981</v>
      </c>
      <c r="Z534" s="8">
        <f t="shared" si="68"/>
        <v>0.44619143488182017</v>
      </c>
      <c r="AA534" t="str">
        <f t="shared" si="69"/>
        <v>October</v>
      </c>
      <c r="AB534">
        <f t="shared" si="70"/>
        <v>2025</v>
      </c>
      <c r="AC534" t="str">
        <f t="shared" si="71"/>
        <v>Clean</v>
      </c>
    </row>
    <row r="535" spans="1:29">
      <c r="A535" t="s">
        <v>1694</v>
      </c>
      <c r="B535" s="2">
        <v>45529</v>
      </c>
      <c r="C535" s="2">
        <v>45536</v>
      </c>
      <c r="D535" s="3">
        <f t="shared" si="64"/>
        <v>7</v>
      </c>
      <c r="E535" t="s">
        <v>1695</v>
      </c>
      <c r="F535" t="s">
        <v>47</v>
      </c>
      <c r="G53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1696</v>
      </c>
      <c r="N535" t="s">
        <v>44</v>
      </c>
      <c r="O535">
        <v>6</v>
      </c>
      <c r="P535">
        <v>481.3</v>
      </c>
      <c r="Q535" s="6">
        <v>0.25</v>
      </c>
      <c r="R535">
        <v>2165.85</v>
      </c>
      <c r="S535">
        <v>2124.48</v>
      </c>
      <c r="T535">
        <v>430.45</v>
      </c>
      <c r="U535" t="s">
        <v>32</v>
      </c>
      <c r="V535" t="s">
        <v>33</v>
      </c>
      <c r="W535" s="8">
        <f t="shared" si="65"/>
        <v>0.25</v>
      </c>
      <c r="X535">
        <f t="shared" si="66"/>
        <v>2165.8500000000004</v>
      </c>
      <c r="Y535">
        <f t="shared" si="67"/>
        <v>41.370000000000346</v>
      </c>
      <c r="Z535" s="8">
        <f t="shared" si="68"/>
        <v>1.91010457787937E-2</v>
      </c>
      <c r="AA535" t="str">
        <f t="shared" si="69"/>
        <v>August</v>
      </c>
      <c r="AB535">
        <f t="shared" si="70"/>
        <v>2024</v>
      </c>
      <c r="AC535" t="str">
        <f t="shared" si="71"/>
        <v>Clean</v>
      </c>
    </row>
    <row r="536" spans="1:29">
      <c r="A536" t="s">
        <v>1697</v>
      </c>
      <c r="B536" s="2">
        <v>45774</v>
      </c>
      <c r="C536" s="2">
        <v>45782</v>
      </c>
      <c r="D536" s="3">
        <f t="shared" si="64"/>
        <v>8</v>
      </c>
      <c r="E536" t="s">
        <v>1698</v>
      </c>
      <c r="F536" t="s">
        <v>141</v>
      </c>
      <c r="G536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1699</v>
      </c>
      <c r="N536" t="s">
        <v>31</v>
      </c>
      <c r="O536">
        <v>4</v>
      </c>
      <c r="P536">
        <v>3963.39</v>
      </c>
      <c r="Q536" s="6">
        <v>0.1</v>
      </c>
      <c r="R536">
        <v>14268.2</v>
      </c>
      <c r="S536">
        <v>11705.3</v>
      </c>
      <c r="T536">
        <v>2562.9</v>
      </c>
      <c r="U536" t="s">
        <v>111</v>
      </c>
      <c r="V536" t="s">
        <v>103</v>
      </c>
      <c r="W536" s="8">
        <f t="shared" si="65"/>
        <v>0.1</v>
      </c>
      <c r="X536">
        <f t="shared" si="66"/>
        <v>14268.204</v>
      </c>
      <c r="Y536">
        <f t="shared" si="67"/>
        <v>2562.9040000000005</v>
      </c>
      <c r="Z536" s="8">
        <f t="shared" si="68"/>
        <v>0.17962344805274724</v>
      </c>
      <c r="AA536" t="str">
        <f t="shared" si="69"/>
        <v>April</v>
      </c>
      <c r="AB536">
        <f t="shared" si="70"/>
        <v>2025</v>
      </c>
      <c r="AC536" t="str">
        <f t="shared" si="71"/>
        <v>Clean</v>
      </c>
    </row>
    <row r="537" spans="1:29">
      <c r="A537" t="s">
        <v>1700</v>
      </c>
      <c r="B537" s="2">
        <v>45431</v>
      </c>
      <c r="C537" s="2">
        <v>45433</v>
      </c>
      <c r="D537" s="3">
        <f t="shared" si="64"/>
        <v>2</v>
      </c>
      <c r="E537" t="s">
        <v>1701</v>
      </c>
      <c r="F537" t="s">
        <v>162</v>
      </c>
      <c r="G537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1702</v>
      </c>
      <c r="N537" t="s">
        <v>50</v>
      </c>
      <c r="O537">
        <v>3</v>
      </c>
      <c r="P537">
        <v>4000.98</v>
      </c>
      <c r="Q537" s="6">
        <v>0.2</v>
      </c>
      <c r="R537">
        <v>9602.35</v>
      </c>
      <c r="S537">
        <v>7387.57</v>
      </c>
      <c r="T537">
        <v>2214.7800000000002</v>
      </c>
      <c r="U537" t="s">
        <v>32</v>
      </c>
      <c r="V537" t="s">
        <v>33</v>
      </c>
      <c r="W537" s="8">
        <f t="shared" si="65"/>
        <v>0.2</v>
      </c>
      <c r="X537">
        <f t="shared" si="66"/>
        <v>9602.3520000000008</v>
      </c>
      <c r="Y537">
        <f t="shared" si="67"/>
        <v>2214.7820000000011</v>
      </c>
      <c r="Z537" s="8">
        <f t="shared" si="68"/>
        <v>0.23064994909580494</v>
      </c>
      <c r="AA537" t="str">
        <f t="shared" si="69"/>
        <v>May</v>
      </c>
      <c r="AB537">
        <f t="shared" si="70"/>
        <v>2024</v>
      </c>
      <c r="AC537" t="str">
        <f t="shared" si="71"/>
        <v>Clean</v>
      </c>
    </row>
    <row r="538" spans="1:29">
      <c r="A538" t="s">
        <v>1703</v>
      </c>
      <c r="B538" s="2">
        <v>45757</v>
      </c>
      <c r="C538" s="2">
        <v>45764</v>
      </c>
      <c r="D538" s="3">
        <f t="shared" si="64"/>
        <v>7</v>
      </c>
      <c r="E538" t="s">
        <v>1704</v>
      </c>
      <c r="F538" t="s">
        <v>62</v>
      </c>
      <c r="G538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1705</v>
      </c>
      <c r="N538" t="s">
        <v>50</v>
      </c>
      <c r="O538">
        <v>7</v>
      </c>
      <c r="P538">
        <v>3788.9</v>
      </c>
      <c r="Q538" s="6">
        <v>0.25</v>
      </c>
      <c r="R538">
        <v>19891.72</v>
      </c>
      <c r="S538">
        <v>12295.76</v>
      </c>
      <c r="T538">
        <v>7595.96</v>
      </c>
      <c r="U538" t="s">
        <v>155</v>
      </c>
      <c r="V538" t="s">
        <v>68</v>
      </c>
      <c r="W538" s="8">
        <f t="shared" si="65"/>
        <v>0.25</v>
      </c>
      <c r="X538">
        <f t="shared" si="66"/>
        <v>19891.724999999999</v>
      </c>
      <c r="Y538">
        <f t="shared" si="67"/>
        <v>7595.9649999999983</v>
      </c>
      <c r="Z538" s="8">
        <f t="shared" si="68"/>
        <v>0.38186557475533162</v>
      </c>
      <c r="AA538" t="str">
        <f t="shared" si="69"/>
        <v>April</v>
      </c>
      <c r="AB538">
        <f t="shared" si="70"/>
        <v>2025</v>
      </c>
      <c r="AC538" t="str">
        <f t="shared" si="71"/>
        <v>Clean</v>
      </c>
    </row>
    <row r="539" spans="1:29">
      <c r="A539" t="s">
        <v>1706</v>
      </c>
      <c r="B539" s="2">
        <v>45313</v>
      </c>
      <c r="C539" s="2">
        <v>45321</v>
      </c>
      <c r="D539" s="3">
        <f t="shared" si="64"/>
        <v>8</v>
      </c>
      <c r="E539" t="s">
        <v>1707</v>
      </c>
      <c r="F539" t="s">
        <v>62</v>
      </c>
      <c r="G539" t="s">
        <v>37</v>
      </c>
      <c r="H539" t="s">
        <v>25</v>
      </c>
      <c r="I539" t="s">
        <v>236</v>
      </c>
      <c r="J539" t="s">
        <v>237</v>
      </c>
      <c r="K539" t="s">
        <v>28</v>
      </c>
      <c r="L539" t="s">
        <v>48</v>
      </c>
      <c r="M539" t="s">
        <v>1708</v>
      </c>
      <c r="N539" t="s">
        <v>44</v>
      </c>
      <c r="O539">
        <v>3</v>
      </c>
      <c r="P539">
        <v>676.37</v>
      </c>
      <c r="Q539" s="6">
        <v>0.05</v>
      </c>
      <c r="R539">
        <v>1927.65</v>
      </c>
      <c r="S539">
        <v>1460.6</v>
      </c>
      <c r="T539">
        <v>467.05</v>
      </c>
      <c r="U539" t="s">
        <v>155</v>
      </c>
      <c r="V539" t="s">
        <v>68</v>
      </c>
      <c r="W539" s="8">
        <f t="shared" si="65"/>
        <v>0.05</v>
      </c>
      <c r="X539">
        <f t="shared" si="66"/>
        <v>1927.6545000000001</v>
      </c>
      <c r="Y539">
        <f t="shared" si="67"/>
        <v>467.05450000000019</v>
      </c>
      <c r="Z539" s="8">
        <f t="shared" si="68"/>
        <v>0.24229160360427668</v>
      </c>
      <c r="AA539" t="str">
        <f t="shared" si="69"/>
        <v>January</v>
      </c>
      <c r="AB539">
        <f t="shared" si="70"/>
        <v>2024</v>
      </c>
      <c r="AC539" t="str">
        <f t="shared" si="71"/>
        <v>Clean</v>
      </c>
    </row>
    <row r="540" spans="1:29">
      <c r="A540" t="s">
        <v>1709</v>
      </c>
      <c r="B540" s="2">
        <v>45560</v>
      </c>
      <c r="C540" s="2">
        <v>45301</v>
      </c>
      <c r="D540" s="5">
        <f t="shared" si="64"/>
        <v>-259</v>
      </c>
      <c r="E540" t="s">
        <v>1710</v>
      </c>
      <c r="F540" t="s">
        <v>162</v>
      </c>
      <c r="G540" t="s">
        <v>37</v>
      </c>
      <c r="H540" t="s">
        <v>38</v>
      </c>
      <c r="I540" t="s">
        <v>228</v>
      </c>
      <c r="J540" t="s">
        <v>229</v>
      </c>
      <c r="K540" t="s">
        <v>41</v>
      </c>
      <c r="L540" t="s">
        <v>42</v>
      </c>
      <c r="M540" t="s">
        <v>1711</v>
      </c>
      <c r="N540" t="s">
        <v>31</v>
      </c>
      <c r="O540">
        <v>9</v>
      </c>
      <c r="P540">
        <v>3908.6</v>
      </c>
      <c r="Q540" s="6">
        <v>0.15</v>
      </c>
      <c r="R540">
        <v>29900.79</v>
      </c>
      <c r="S540">
        <v>24650.67</v>
      </c>
      <c r="T540">
        <v>5250.12</v>
      </c>
      <c r="U540" t="s">
        <v>32</v>
      </c>
      <c r="V540" t="s">
        <v>33</v>
      </c>
      <c r="W540" s="8">
        <f t="shared" si="65"/>
        <v>0.15</v>
      </c>
      <c r="X540">
        <f t="shared" si="66"/>
        <v>29900.79</v>
      </c>
      <c r="Y540">
        <f t="shared" si="67"/>
        <v>5250.1200000000026</v>
      </c>
      <c r="Z540" s="8">
        <f t="shared" si="68"/>
        <v>0.17558465846554563</v>
      </c>
      <c r="AA540" t="str">
        <f t="shared" si="69"/>
        <v>September</v>
      </c>
      <c r="AB540">
        <f t="shared" si="70"/>
        <v>2024</v>
      </c>
      <c r="AC540" t="str">
        <f t="shared" si="71"/>
        <v>Warning</v>
      </c>
    </row>
    <row r="541" spans="1:29">
      <c r="A541" t="s">
        <v>1712</v>
      </c>
      <c r="B541" s="2">
        <v>45842</v>
      </c>
      <c r="C541" s="2">
        <v>45842</v>
      </c>
      <c r="D541" s="3">
        <f t="shared" si="64"/>
        <v>0</v>
      </c>
      <c r="E541" t="s">
        <v>1713</v>
      </c>
      <c r="F541" t="s">
        <v>36</v>
      </c>
      <c r="G541" t="s">
        <v>37</v>
      </c>
      <c r="H541" t="s">
        <v>54</v>
      </c>
      <c r="I541" t="s">
        <v>247</v>
      </c>
      <c r="J541" t="s">
        <v>248</v>
      </c>
      <c r="K541" t="s">
        <v>41</v>
      </c>
      <c r="L541" t="s">
        <v>66</v>
      </c>
      <c r="M541" t="s">
        <v>1714</v>
      </c>
      <c r="N541" t="s">
        <v>59</v>
      </c>
      <c r="O541">
        <v>3</v>
      </c>
      <c r="P541">
        <v>705.35</v>
      </c>
      <c r="Q541" s="6">
        <v>0.1</v>
      </c>
      <c r="R541">
        <v>1904.45</v>
      </c>
      <c r="S541">
        <v>1316.54</v>
      </c>
      <c r="T541">
        <v>587.91</v>
      </c>
      <c r="U541" t="s">
        <v>32</v>
      </c>
      <c r="V541" t="s">
        <v>68</v>
      </c>
      <c r="W541" s="8">
        <f t="shared" si="65"/>
        <v>0.1</v>
      </c>
      <c r="X541">
        <f t="shared" si="66"/>
        <v>1904.4450000000002</v>
      </c>
      <c r="Y541">
        <f t="shared" si="67"/>
        <v>587.9050000000002</v>
      </c>
      <c r="Z541" s="8">
        <f t="shared" si="68"/>
        <v>0.30870148520960183</v>
      </c>
      <c r="AA541" t="str">
        <f t="shared" si="69"/>
        <v>July</v>
      </c>
      <c r="AB541">
        <f t="shared" si="70"/>
        <v>2025</v>
      </c>
      <c r="AC541" t="str">
        <f t="shared" si="71"/>
        <v>Clean</v>
      </c>
    </row>
    <row r="542" spans="1:29">
      <c r="A542" t="s">
        <v>1715</v>
      </c>
      <c r="B542" s="2">
        <v>45348</v>
      </c>
      <c r="C542" s="2">
        <v>45345</v>
      </c>
      <c r="D542" s="5">
        <f t="shared" si="64"/>
        <v>-3</v>
      </c>
      <c r="E542" t="s">
        <v>1716</v>
      </c>
      <c r="F542" t="s">
        <v>264</v>
      </c>
      <c r="G542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1717</v>
      </c>
      <c r="N542" t="s">
        <v>59</v>
      </c>
      <c r="O542">
        <v>7</v>
      </c>
      <c r="P542">
        <v>3852.07</v>
      </c>
      <c r="Q542" s="6">
        <v>0.2</v>
      </c>
      <c r="R542">
        <v>21571.59</v>
      </c>
      <c r="S542">
        <v>17118.07</v>
      </c>
      <c r="T542">
        <v>4453.5200000000004</v>
      </c>
      <c r="U542" t="s">
        <v>32</v>
      </c>
      <c r="V542" t="s">
        <v>33</v>
      </c>
      <c r="W542" s="8">
        <f t="shared" si="65"/>
        <v>0.2</v>
      </c>
      <c r="X542">
        <f t="shared" si="66"/>
        <v>21571.592000000004</v>
      </c>
      <c r="Y542">
        <f t="shared" si="67"/>
        <v>4453.5220000000045</v>
      </c>
      <c r="Z542" s="8">
        <f t="shared" si="68"/>
        <v>0.20645309813017063</v>
      </c>
      <c r="AA542" t="str">
        <f t="shared" si="69"/>
        <v>February</v>
      </c>
      <c r="AB542">
        <f t="shared" si="70"/>
        <v>2024</v>
      </c>
      <c r="AC542" t="str">
        <f t="shared" si="71"/>
        <v>Warning</v>
      </c>
    </row>
    <row r="543" spans="1:29">
      <c r="A543" t="s">
        <v>1718</v>
      </c>
      <c r="B543" s="2">
        <v>45876</v>
      </c>
      <c r="C543" s="2">
        <v>45847</v>
      </c>
      <c r="D543" s="5">
        <f t="shared" si="64"/>
        <v>-29</v>
      </c>
      <c r="E543" t="s">
        <v>1719</v>
      </c>
      <c r="F543" t="s">
        <v>132</v>
      </c>
      <c r="G543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1720</v>
      </c>
      <c r="N543" t="s">
        <v>44</v>
      </c>
      <c r="O543">
        <v>3</v>
      </c>
      <c r="P543">
        <v>2880.56</v>
      </c>
      <c r="Q543" s="7">
        <v>0</v>
      </c>
      <c r="R543">
        <v>8641.68</v>
      </c>
      <c r="S543">
        <v>5747.09</v>
      </c>
      <c r="T543">
        <v>2894.59</v>
      </c>
      <c r="U543" t="s">
        <v>32</v>
      </c>
      <c r="V543" t="s">
        <v>103</v>
      </c>
      <c r="W543" s="8">
        <f t="shared" si="65"/>
        <v>0</v>
      </c>
      <c r="X543">
        <f t="shared" si="66"/>
        <v>8641.68</v>
      </c>
      <c r="Y543">
        <f t="shared" si="67"/>
        <v>2894.59</v>
      </c>
      <c r="Z543" s="8">
        <f t="shared" si="68"/>
        <v>0.33495686024013849</v>
      </c>
      <c r="AA543" t="str">
        <f t="shared" si="69"/>
        <v>August</v>
      </c>
      <c r="AB543">
        <f t="shared" si="70"/>
        <v>2025</v>
      </c>
      <c r="AC543" t="str">
        <f t="shared" si="71"/>
        <v>Warning</v>
      </c>
    </row>
    <row r="544" spans="1:29">
      <c r="A544" t="s">
        <v>1721</v>
      </c>
      <c r="B544" s="2">
        <v>45552</v>
      </c>
      <c r="C544" s="2">
        <v>45558</v>
      </c>
      <c r="D544" s="3">
        <f t="shared" si="64"/>
        <v>6</v>
      </c>
      <c r="E544" t="s">
        <v>1722</v>
      </c>
      <c r="F544" t="s">
        <v>118</v>
      </c>
      <c r="G544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1723</v>
      </c>
      <c r="N544" t="s">
        <v>31</v>
      </c>
      <c r="O544">
        <v>3</v>
      </c>
      <c r="P544">
        <v>4067.62</v>
      </c>
      <c r="Q544" s="6">
        <v>0.2</v>
      </c>
      <c r="R544">
        <v>9988.5300000000007</v>
      </c>
      <c r="S544">
        <v>8368.24</v>
      </c>
      <c r="T544">
        <v>1394.05</v>
      </c>
      <c r="U544" t="s">
        <v>32</v>
      </c>
      <c r="V544" t="s">
        <v>68</v>
      </c>
      <c r="W544" s="8">
        <f t="shared" si="65"/>
        <v>0.2</v>
      </c>
      <c r="X544">
        <f t="shared" si="66"/>
        <v>9762.2880000000005</v>
      </c>
      <c r="Y544">
        <f t="shared" si="67"/>
        <v>1394.0480000000007</v>
      </c>
      <c r="Z544" s="8">
        <f t="shared" si="68"/>
        <v>0.14279931098119628</v>
      </c>
      <c r="AA544" t="str">
        <f t="shared" si="69"/>
        <v>September</v>
      </c>
      <c r="AB544">
        <f t="shared" si="70"/>
        <v>2024</v>
      </c>
      <c r="AC544" t="str">
        <f t="shared" si="71"/>
        <v>Clean</v>
      </c>
    </row>
    <row r="545" spans="1:29">
      <c r="A545" t="s">
        <v>1724</v>
      </c>
      <c r="B545" s="2">
        <v>45487</v>
      </c>
      <c r="C545" s="2">
        <v>45493</v>
      </c>
      <c r="D545" s="3">
        <f t="shared" si="64"/>
        <v>6</v>
      </c>
      <c r="E545" t="s">
        <v>1725</v>
      </c>
      <c r="F545" t="s">
        <v>36</v>
      </c>
      <c r="G54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1726</v>
      </c>
      <c r="N545" t="s">
        <v>44</v>
      </c>
      <c r="O545">
        <v>1</v>
      </c>
      <c r="P545">
        <v>492.67</v>
      </c>
      <c r="Q545" s="6">
        <v>0.15</v>
      </c>
      <c r="R545">
        <v>418.77</v>
      </c>
      <c r="S545">
        <v>313.72000000000003</v>
      </c>
      <c r="T545">
        <v>105.05</v>
      </c>
      <c r="U545" t="s">
        <v>32</v>
      </c>
      <c r="V545" t="s">
        <v>33</v>
      </c>
      <c r="W545" s="8">
        <f t="shared" si="65"/>
        <v>0.15</v>
      </c>
      <c r="X545">
        <f t="shared" si="66"/>
        <v>418.76949999999999</v>
      </c>
      <c r="Y545">
        <f t="shared" si="67"/>
        <v>105.04949999999997</v>
      </c>
      <c r="Z545" s="8">
        <f t="shared" si="68"/>
        <v>0.25085279610859906</v>
      </c>
      <c r="AA545" t="str">
        <f t="shared" si="69"/>
        <v>July</v>
      </c>
      <c r="AB545">
        <f t="shared" si="70"/>
        <v>2024</v>
      </c>
      <c r="AC545" t="str">
        <f t="shared" si="71"/>
        <v>Clean</v>
      </c>
    </row>
    <row r="546" spans="1:29">
      <c r="A546" t="s">
        <v>1727</v>
      </c>
      <c r="B546" s="2">
        <v>45686</v>
      </c>
      <c r="C546" s="2">
        <v>45693</v>
      </c>
      <c r="D546" s="3">
        <f t="shared" si="64"/>
        <v>7</v>
      </c>
      <c r="E546" t="s">
        <v>1728</v>
      </c>
      <c r="F546" t="s">
        <v>62</v>
      </c>
      <c r="G546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1729</v>
      </c>
      <c r="N546" t="s">
        <v>44</v>
      </c>
      <c r="O546">
        <v>8</v>
      </c>
      <c r="P546">
        <v>3643.62</v>
      </c>
      <c r="Q546" s="6">
        <v>0.25</v>
      </c>
      <c r="R546">
        <v>21861.72</v>
      </c>
      <c r="S546">
        <v>18464.34</v>
      </c>
      <c r="T546">
        <v>3397.38</v>
      </c>
      <c r="U546" t="s">
        <v>32</v>
      </c>
      <c r="V546" t="s">
        <v>68</v>
      </c>
      <c r="W546" s="8">
        <f t="shared" si="65"/>
        <v>0.25</v>
      </c>
      <c r="X546">
        <f t="shared" si="66"/>
        <v>21861.72</v>
      </c>
      <c r="Y546">
        <f t="shared" si="67"/>
        <v>3397.380000000001</v>
      </c>
      <c r="Z546" s="8">
        <f t="shared" si="68"/>
        <v>0.1554031430280875</v>
      </c>
      <c r="AA546" t="str">
        <f t="shared" si="69"/>
        <v>January</v>
      </c>
      <c r="AB546">
        <f t="shared" si="70"/>
        <v>2025</v>
      </c>
      <c r="AC546" t="str">
        <f t="shared" si="71"/>
        <v>Clean</v>
      </c>
    </row>
    <row r="547" spans="1:29">
      <c r="A547" t="s">
        <v>1730</v>
      </c>
      <c r="B547" s="2">
        <v>45439</v>
      </c>
      <c r="C547" s="2">
        <v>45442</v>
      </c>
      <c r="D547" s="3">
        <f t="shared" si="64"/>
        <v>3</v>
      </c>
      <c r="E547" t="s">
        <v>1731</v>
      </c>
      <c r="F547" t="s">
        <v>264</v>
      </c>
      <c r="G547" t="s">
        <v>37</v>
      </c>
      <c r="H547" t="s">
        <v>38</v>
      </c>
      <c r="I547" t="s">
        <v>228</v>
      </c>
      <c r="J547" t="s">
        <v>229</v>
      </c>
      <c r="K547" t="s">
        <v>28</v>
      </c>
      <c r="L547" t="s">
        <v>124</v>
      </c>
      <c r="M547" t="s">
        <v>1732</v>
      </c>
      <c r="N547" t="s">
        <v>44</v>
      </c>
      <c r="O547">
        <v>7</v>
      </c>
      <c r="P547">
        <v>2900.86</v>
      </c>
      <c r="Q547" s="6">
        <v>0.15</v>
      </c>
      <c r="R547">
        <v>17260.12</v>
      </c>
      <c r="S547">
        <v>13513.51</v>
      </c>
      <c r="T547">
        <v>3746.61</v>
      </c>
      <c r="U547" t="s">
        <v>32</v>
      </c>
      <c r="V547" t="s">
        <v>33</v>
      </c>
      <c r="W547" s="8">
        <f t="shared" si="65"/>
        <v>0.15</v>
      </c>
      <c r="X547">
        <f t="shared" si="66"/>
        <v>17260.116999999998</v>
      </c>
      <c r="Y547">
        <f t="shared" si="67"/>
        <v>3746.6069999999982</v>
      </c>
      <c r="Z547" s="8">
        <f t="shared" si="68"/>
        <v>0.21706730029697935</v>
      </c>
      <c r="AA547" t="str">
        <f t="shared" si="69"/>
        <v>May</v>
      </c>
      <c r="AB547">
        <f t="shared" si="70"/>
        <v>2024</v>
      </c>
      <c r="AC547" t="str">
        <f t="shared" si="71"/>
        <v>Clean</v>
      </c>
    </row>
    <row r="548" spans="1:29">
      <c r="A548" t="s">
        <v>1733</v>
      </c>
      <c r="B548" s="2">
        <v>45883</v>
      </c>
      <c r="C548" s="2">
        <v>45891</v>
      </c>
      <c r="D548" s="3">
        <f t="shared" si="64"/>
        <v>8</v>
      </c>
      <c r="E548" t="s">
        <v>1734</v>
      </c>
      <c r="F548" t="s">
        <v>53</v>
      </c>
      <c r="G548" t="s">
        <v>90</v>
      </c>
      <c r="H548" t="s">
        <v>63</v>
      </c>
      <c r="I548" t="s">
        <v>180</v>
      </c>
      <c r="J548" t="s">
        <v>181</v>
      </c>
      <c r="K548" t="s">
        <v>28</v>
      </c>
      <c r="L548" t="s">
        <v>29</v>
      </c>
      <c r="M548" t="s">
        <v>1735</v>
      </c>
      <c r="N548" t="s">
        <v>50</v>
      </c>
      <c r="O548">
        <v>5</v>
      </c>
      <c r="P548">
        <v>2567.37</v>
      </c>
      <c r="Q548" s="6">
        <v>0.15</v>
      </c>
      <c r="R548">
        <v>10911.32</v>
      </c>
      <c r="S548">
        <v>6966.44</v>
      </c>
      <c r="T548">
        <v>4395.17</v>
      </c>
      <c r="U548" t="s">
        <v>32</v>
      </c>
      <c r="V548" t="s">
        <v>33</v>
      </c>
      <c r="W548" s="8">
        <f t="shared" si="65"/>
        <v>0.15</v>
      </c>
      <c r="X548">
        <f t="shared" si="66"/>
        <v>10911.322499999998</v>
      </c>
      <c r="Y548">
        <f t="shared" si="67"/>
        <v>3944.8824999999988</v>
      </c>
      <c r="Z548" s="8">
        <f t="shared" si="68"/>
        <v>0.36154027158486052</v>
      </c>
      <c r="AA548" t="str">
        <f t="shared" si="69"/>
        <v>August</v>
      </c>
      <c r="AB548">
        <f t="shared" si="70"/>
        <v>2025</v>
      </c>
      <c r="AC548" t="str">
        <f t="shared" si="71"/>
        <v>Clean</v>
      </c>
    </row>
    <row r="549" spans="1:29">
      <c r="A549" t="s">
        <v>1736</v>
      </c>
      <c r="B549" s="2">
        <v>45428</v>
      </c>
      <c r="C549" s="2">
        <v>45435</v>
      </c>
      <c r="D549" s="3">
        <f t="shared" si="64"/>
        <v>7</v>
      </c>
      <c r="E549" t="s">
        <v>1737</v>
      </c>
      <c r="F549" t="s">
        <v>79</v>
      </c>
      <c r="G549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1738</v>
      </c>
      <c r="N549" t="s">
        <v>59</v>
      </c>
      <c r="O549">
        <v>9</v>
      </c>
      <c r="P549">
        <v>3722.09</v>
      </c>
      <c r="Q549" s="6">
        <v>0.1</v>
      </c>
      <c r="R549">
        <v>30148.93</v>
      </c>
      <c r="S549">
        <v>25155.07</v>
      </c>
      <c r="T549">
        <v>4993.8599999999997</v>
      </c>
      <c r="U549" t="s">
        <v>32</v>
      </c>
      <c r="V549" t="s">
        <v>33</v>
      </c>
      <c r="W549" s="8">
        <f t="shared" si="65"/>
        <v>0.1</v>
      </c>
      <c r="X549">
        <f t="shared" si="66"/>
        <v>30148.929</v>
      </c>
      <c r="Y549">
        <f t="shared" si="67"/>
        <v>4993.8590000000004</v>
      </c>
      <c r="Z549" s="8">
        <f t="shared" si="68"/>
        <v>0.16563968159532302</v>
      </c>
      <c r="AA549" t="str">
        <f t="shared" si="69"/>
        <v>May</v>
      </c>
      <c r="AB549">
        <f t="shared" si="70"/>
        <v>2024</v>
      </c>
      <c r="AC549" t="str">
        <f t="shared" si="71"/>
        <v>Clean</v>
      </c>
    </row>
    <row r="550" spans="1:29">
      <c r="A550" t="s">
        <v>1739</v>
      </c>
      <c r="B550" s="2">
        <v>45441</v>
      </c>
      <c r="C550" s="2">
        <v>45441</v>
      </c>
      <c r="D550" s="3">
        <f t="shared" si="64"/>
        <v>0</v>
      </c>
      <c r="E550" t="s">
        <v>1740</v>
      </c>
      <c r="F550" t="s">
        <v>141</v>
      </c>
      <c r="G550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1741</v>
      </c>
      <c r="N550" t="s">
        <v>44</v>
      </c>
      <c r="O550">
        <v>1</v>
      </c>
      <c r="P550">
        <v>1072.01</v>
      </c>
      <c r="Q550" s="7">
        <v>0</v>
      </c>
      <c r="R550">
        <v>1072.01</v>
      </c>
      <c r="S550">
        <v>852.62</v>
      </c>
      <c r="T550">
        <v>219.39</v>
      </c>
      <c r="U550" t="s">
        <v>111</v>
      </c>
      <c r="V550" t="s">
        <v>68</v>
      </c>
      <c r="W550" s="8">
        <f t="shared" si="65"/>
        <v>0</v>
      </c>
      <c r="X550">
        <f t="shared" si="66"/>
        <v>1072.01</v>
      </c>
      <c r="Y550">
        <f t="shared" si="67"/>
        <v>219.39</v>
      </c>
      <c r="Z550" s="8">
        <f t="shared" si="68"/>
        <v>0.20465294167032022</v>
      </c>
      <c r="AA550" t="str">
        <f t="shared" si="69"/>
        <v>May</v>
      </c>
      <c r="AB550">
        <f t="shared" si="70"/>
        <v>2024</v>
      </c>
      <c r="AC550" t="str">
        <f t="shared" si="71"/>
        <v>Clean</v>
      </c>
    </row>
    <row r="551" spans="1:29">
      <c r="A551" t="s">
        <v>1742</v>
      </c>
      <c r="B551" s="2">
        <v>45941</v>
      </c>
      <c r="C551" s="2">
        <v>45943</v>
      </c>
      <c r="D551" s="3">
        <f t="shared" si="64"/>
        <v>2</v>
      </c>
      <c r="E551" t="s">
        <v>1743</v>
      </c>
      <c r="F551" t="s">
        <v>36</v>
      </c>
      <c r="G551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1744</v>
      </c>
      <c r="N551" t="s">
        <v>31</v>
      </c>
      <c r="O551">
        <v>3</v>
      </c>
      <c r="P551">
        <v>3804.27</v>
      </c>
      <c r="Q551" s="6">
        <v>0.1</v>
      </c>
      <c r="R551">
        <v>10271.530000000001</v>
      </c>
      <c r="S551">
        <v>8272.24</v>
      </c>
      <c r="T551">
        <v>1999.29</v>
      </c>
      <c r="U551" t="s">
        <v>32</v>
      </c>
      <c r="V551" t="s">
        <v>33</v>
      </c>
      <c r="W551" s="8">
        <f t="shared" si="65"/>
        <v>0.1</v>
      </c>
      <c r="X551">
        <f t="shared" si="66"/>
        <v>10271.529</v>
      </c>
      <c r="Y551">
        <f t="shared" si="67"/>
        <v>1999.2890000000007</v>
      </c>
      <c r="Z551" s="8">
        <f t="shared" si="68"/>
        <v>0.19464375751652949</v>
      </c>
      <c r="AA551" t="str">
        <f t="shared" si="69"/>
        <v>October</v>
      </c>
      <c r="AB551">
        <f t="shared" si="70"/>
        <v>2025</v>
      </c>
      <c r="AC551" t="str">
        <f t="shared" si="71"/>
        <v>Clean</v>
      </c>
    </row>
    <row r="552" spans="1:29">
      <c r="A552" t="s">
        <v>1745</v>
      </c>
      <c r="B552" s="2">
        <v>45330</v>
      </c>
      <c r="C552" s="2">
        <v>45514</v>
      </c>
      <c r="D552" s="3">
        <f t="shared" si="64"/>
        <v>184</v>
      </c>
      <c r="E552" t="s">
        <v>1746</v>
      </c>
      <c r="F552" t="s">
        <v>36</v>
      </c>
      <c r="G552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1747</v>
      </c>
      <c r="N552" t="s">
        <v>59</v>
      </c>
      <c r="O552">
        <v>6</v>
      </c>
      <c r="P552">
        <v>2126.44</v>
      </c>
      <c r="Q552" s="6">
        <v>0.2</v>
      </c>
      <c r="R552">
        <v>10206.91</v>
      </c>
      <c r="S552">
        <v>6764.53</v>
      </c>
      <c r="T552">
        <v>3442.38</v>
      </c>
      <c r="U552" t="s">
        <v>32</v>
      </c>
      <c r="V552" t="s">
        <v>33</v>
      </c>
      <c r="W552" s="8">
        <f t="shared" si="65"/>
        <v>0.2</v>
      </c>
      <c r="X552">
        <f t="shared" si="66"/>
        <v>10206.912</v>
      </c>
      <c r="Y552">
        <f t="shared" si="67"/>
        <v>3442.3820000000005</v>
      </c>
      <c r="Z552" s="8">
        <f t="shared" si="68"/>
        <v>0.33725988820125036</v>
      </c>
      <c r="AA552" t="str">
        <f t="shared" si="69"/>
        <v>February</v>
      </c>
      <c r="AB552">
        <f t="shared" si="70"/>
        <v>2024</v>
      </c>
      <c r="AC552" t="str">
        <f t="shared" si="71"/>
        <v>Clean</v>
      </c>
    </row>
    <row r="553" spans="1:29">
      <c r="A553" t="s">
        <v>1748</v>
      </c>
      <c r="B553" s="2">
        <v>45349</v>
      </c>
      <c r="C553" s="2">
        <v>45349</v>
      </c>
      <c r="D553" s="3">
        <f t="shared" si="64"/>
        <v>0</v>
      </c>
      <c r="E553" t="s">
        <v>1749</v>
      </c>
      <c r="F553" t="s">
        <v>132</v>
      </c>
      <c r="G553" t="s">
        <v>24</v>
      </c>
      <c r="H553" t="s">
        <v>38</v>
      </c>
      <c r="I553" t="s">
        <v>228</v>
      </c>
      <c r="J553" t="s">
        <v>229</v>
      </c>
      <c r="K553" t="s">
        <v>41</v>
      </c>
      <c r="L553" t="s">
        <v>66</v>
      </c>
      <c r="M553" t="s">
        <v>1750</v>
      </c>
      <c r="N553" t="s">
        <v>31</v>
      </c>
      <c r="O553">
        <v>3</v>
      </c>
      <c r="P553">
        <v>3148.09</v>
      </c>
      <c r="Q553" s="6">
        <v>0.15</v>
      </c>
      <c r="R553">
        <v>8027.63</v>
      </c>
      <c r="S553">
        <v>5496.09</v>
      </c>
      <c r="T553">
        <v>2531.54</v>
      </c>
      <c r="U553" t="s">
        <v>32</v>
      </c>
      <c r="V553" t="s">
        <v>33</v>
      </c>
      <c r="W553" s="8">
        <f t="shared" si="65"/>
        <v>0.15</v>
      </c>
      <c r="X553">
        <f t="shared" si="66"/>
        <v>8027.6295</v>
      </c>
      <c r="Y553">
        <f t="shared" si="67"/>
        <v>2531.5394999999999</v>
      </c>
      <c r="Z553" s="8">
        <f t="shared" si="68"/>
        <v>0.31535330572991688</v>
      </c>
      <c r="AA553" t="str">
        <f t="shared" si="69"/>
        <v>February</v>
      </c>
      <c r="AB553">
        <f t="shared" si="70"/>
        <v>2024</v>
      </c>
      <c r="AC553" t="str">
        <f t="shared" si="71"/>
        <v>Clean</v>
      </c>
    </row>
    <row r="554" spans="1:29">
      <c r="A554" t="s">
        <v>1751</v>
      </c>
      <c r="B554" s="2">
        <v>45681</v>
      </c>
      <c r="C554" s="2">
        <v>45687</v>
      </c>
      <c r="D554" s="3">
        <f t="shared" si="64"/>
        <v>6</v>
      </c>
      <c r="E554" t="s">
        <v>1752</v>
      </c>
      <c r="F554" t="s">
        <v>62</v>
      </c>
      <c r="G554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1753</v>
      </c>
      <c r="N554" t="s">
        <v>59</v>
      </c>
      <c r="O554">
        <v>8</v>
      </c>
      <c r="P554">
        <v>312.52999999999997</v>
      </c>
      <c r="Q554" s="6">
        <v>0.7</v>
      </c>
      <c r="R554">
        <v>1875.18</v>
      </c>
      <c r="S554">
        <v>1579.17</v>
      </c>
      <c r="T554">
        <v>296.01</v>
      </c>
      <c r="U554" t="s">
        <v>32</v>
      </c>
      <c r="V554" t="s">
        <v>33</v>
      </c>
      <c r="W554" s="8">
        <f t="shared" si="65"/>
        <v>0.7</v>
      </c>
      <c r="X554">
        <f t="shared" si="66"/>
        <v>750.072</v>
      </c>
      <c r="Y554">
        <f t="shared" si="67"/>
        <v>-829.09800000000007</v>
      </c>
      <c r="Z554" s="8">
        <f t="shared" si="68"/>
        <v>-1.1053578856429784</v>
      </c>
      <c r="AA554" t="str">
        <f t="shared" si="69"/>
        <v>January</v>
      </c>
      <c r="AB554">
        <f t="shared" si="70"/>
        <v>2025</v>
      </c>
      <c r="AC554" t="str">
        <f t="shared" si="71"/>
        <v>Clean</v>
      </c>
    </row>
    <row r="555" spans="1:29">
      <c r="A555" t="s">
        <v>1754</v>
      </c>
      <c r="B555" s="2">
        <v>45772</v>
      </c>
      <c r="C555" s="2">
        <v>45775</v>
      </c>
      <c r="D555" s="3">
        <f t="shared" si="64"/>
        <v>3</v>
      </c>
      <c r="E555" t="s">
        <v>1755</v>
      </c>
      <c r="F555" t="s">
        <v>128</v>
      </c>
      <c r="G55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1756</v>
      </c>
      <c r="N555" t="s">
        <v>50</v>
      </c>
      <c r="O555">
        <v>9</v>
      </c>
      <c r="P555">
        <v>1294.1099999999999</v>
      </c>
      <c r="Q555" s="6">
        <v>0.25</v>
      </c>
      <c r="R555">
        <v>8735.24</v>
      </c>
      <c r="S555">
        <v>6620.07</v>
      </c>
      <c r="T555">
        <v>2115.17</v>
      </c>
      <c r="U555" t="s">
        <v>32</v>
      </c>
      <c r="V555" t="s">
        <v>33</v>
      </c>
      <c r="W555" s="8">
        <f t="shared" si="65"/>
        <v>0.25</v>
      </c>
      <c r="X555">
        <f t="shared" si="66"/>
        <v>8735.2425000000003</v>
      </c>
      <c r="Y555">
        <f t="shared" si="67"/>
        <v>2115.1725000000006</v>
      </c>
      <c r="Z555" s="8">
        <f t="shared" si="68"/>
        <v>0.24214239043735769</v>
      </c>
      <c r="AA555" t="str">
        <f t="shared" si="69"/>
        <v>April</v>
      </c>
      <c r="AB555">
        <f t="shared" si="70"/>
        <v>2025</v>
      </c>
      <c r="AC555" t="str">
        <f t="shared" si="71"/>
        <v>Clean</v>
      </c>
    </row>
    <row r="556" spans="1:29">
      <c r="A556" t="s">
        <v>1757</v>
      </c>
      <c r="B556" s="2">
        <v>45577</v>
      </c>
      <c r="C556" s="2">
        <v>45582</v>
      </c>
      <c r="D556" s="3">
        <f t="shared" si="64"/>
        <v>5</v>
      </c>
      <c r="E556" t="s">
        <v>1758</v>
      </c>
      <c r="F556" t="s">
        <v>53</v>
      </c>
      <c r="G556" t="s">
        <v>24</v>
      </c>
      <c r="H556" s="4" t="s">
        <v>2760</v>
      </c>
      <c r="I556" t="s">
        <v>228</v>
      </c>
      <c r="J556" t="s">
        <v>229</v>
      </c>
      <c r="K556" t="s">
        <v>41</v>
      </c>
      <c r="L556" t="s">
        <v>57</v>
      </c>
      <c r="M556" t="s">
        <v>1759</v>
      </c>
      <c r="N556" t="s">
        <v>59</v>
      </c>
      <c r="O556">
        <v>4</v>
      </c>
      <c r="P556">
        <v>1071.22</v>
      </c>
      <c r="Q556" s="6">
        <v>0.05</v>
      </c>
      <c r="R556">
        <v>4070.64</v>
      </c>
      <c r="S556">
        <v>2831.62</v>
      </c>
      <c r="T556">
        <v>1239.02</v>
      </c>
      <c r="U556" t="s">
        <v>32</v>
      </c>
      <c r="V556" t="s">
        <v>33</v>
      </c>
      <c r="W556" s="8">
        <f t="shared" si="65"/>
        <v>0.05</v>
      </c>
      <c r="X556">
        <f t="shared" si="66"/>
        <v>4070.636</v>
      </c>
      <c r="Y556">
        <f t="shared" si="67"/>
        <v>1239.0160000000001</v>
      </c>
      <c r="Z556" s="8">
        <f t="shared" si="68"/>
        <v>0.30437897173807732</v>
      </c>
      <c r="AA556" t="str">
        <f t="shared" si="69"/>
        <v>October</v>
      </c>
      <c r="AB556">
        <f t="shared" si="70"/>
        <v>2024</v>
      </c>
      <c r="AC556" t="str">
        <f t="shared" si="71"/>
        <v>Clean</v>
      </c>
    </row>
    <row r="557" spans="1:29">
      <c r="A557" t="s">
        <v>1760</v>
      </c>
      <c r="B557" s="2">
        <v>45749</v>
      </c>
      <c r="C557" s="2">
        <v>45698</v>
      </c>
      <c r="D557" s="5">
        <f t="shared" si="64"/>
        <v>-51</v>
      </c>
      <c r="E557" t="s">
        <v>1761</v>
      </c>
      <c r="F557" t="s">
        <v>62</v>
      </c>
      <c r="G557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1762</v>
      </c>
      <c r="N557" t="s">
        <v>59</v>
      </c>
      <c r="O557">
        <v>6</v>
      </c>
      <c r="P557">
        <v>1042.8</v>
      </c>
      <c r="Q557" s="6">
        <v>0.05</v>
      </c>
      <c r="R557">
        <v>5943.96</v>
      </c>
      <c r="S557">
        <v>3604.14</v>
      </c>
      <c r="T557">
        <v>2339.8200000000002</v>
      </c>
      <c r="U557" t="s">
        <v>32</v>
      </c>
      <c r="V557" t="s">
        <v>33</v>
      </c>
      <c r="W557" s="8">
        <f t="shared" si="65"/>
        <v>0.05</v>
      </c>
      <c r="X557">
        <f t="shared" si="66"/>
        <v>5943.9599999999991</v>
      </c>
      <c r="Y557">
        <f t="shared" si="67"/>
        <v>2339.8199999999993</v>
      </c>
      <c r="Z557" s="8">
        <f t="shared" si="68"/>
        <v>0.39364665980255581</v>
      </c>
      <c r="AA557" t="str">
        <f t="shared" si="69"/>
        <v>April</v>
      </c>
      <c r="AB557">
        <f t="shared" si="70"/>
        <v>2025</v>
      </c>
      <c r="AC557" t="str">
        <f t="shared" si="71"/>
        <v>Warning</v>
      </c>
    </row>
    <row r="558" spans="1:29">
      <c r="A558" t="s">
        <v>1763</v>
      </c>
      <c r="B558" s="2">
        <v>45466</v>
      </c>
      <c r="C558" s="2">
        <v>45472</v>
      </c>
      <c r="D558" s="3">
        <f t="shared" si="64"/>
        <v>6</v>
      </c>
      <c r="E558" t="s">
        <v>1764</v>
      </c>
      <c r="F558" t="s">
        <v>79</v>
      </c>
      <c r="G558" t="s">
        <v>24</v>
      </c>
      <c r="H558" t="s">
        <v>25</v>
      </c>
      <c r="I558" t="s">
        <v>236</v>
      </c>
      <c r="J558" t="s">
        <v>237</v>
      </c>
      <c r="K558" t="s">
        <v>41</v>
      </c>
      <c r="L558" t="s">
        <v>42</v>
      </c>
      <c r="M558" t="s">
        <v>1765</v>
      </c>
      <c r="N558" t="s">
        <v>50</v>
      </c>
      <c r="O558">
        <v>1</v>
      </c>
      <c r="P558">
        <v>4426.66</v>
      </c>
      <c r="Q558" s="7">
        <v>0</v>
      </c>
      <c r="R558">
        <v>4426.66</v>
      </c>
      <c r="S558">
        <v>3035.2</v>
      </c>
      <c r="T558">
        <v>1816.23</v>
      </c>
      <c r="U558" t="s">
        <v>32</v>
      </c>
      <c r="V558" t="s">
        <v>103</v>
      </c>
      <c r="W558" s="8">
        <f t="shared" si="65"/>
        <v>0</v>
      </c>
      <c r="X558">
        <f t="shared" si="66"/>
        <v>4426.66</v>
      </c>
      <c r="Y558">
        <f t="shared" si="67"/>
        <v>1391.46</v>
      </c>
      <c r="Z558" s="8">
        <f t="shared" si="68"/>
        <v>0.31433631677156143</v>
      </c>
      <c r="AA558" t="str">
        <f t="shared" si="69"/>
        <v>June</v>
      </c>
      <c r="AB558">
        <f t="shared" si="70"/>
        <v>2024</v>
      </c>
      <c r="AC558" t="str">
        <f t="shared" si="71"/>
        <v>Clean</v>
      </c>
    </row>
    <row r="559" spans="1:29">
      <c r="A559" t="s">
        <v>1766</v>
      </c>
      <c r="B559" s="2">
        <v>45420</v>
      </c>
      <c r="C559" s="2">
        <v>45426</v>
      </c>
      <c r="D559" s="3">
        <f t="shared" si="64"/>
        <v>6</v>
      </c>
      <c r="E559" t="s">
        <v>1767</v>
      </c>
      <c r="F559" t="s">
        <v>71</v>
      </c>
      <c r="G559" t="s">
        <v>95</v>
      </c>
      <c r="H559" t="s">
        <v>25</v>
      </c>
      <c r="I559" t="s">
        <v>236</v>
      </c>
      <c r="J559" t="s">
        <v>237</v>
      </c>
      <c r="K559" t="s">
        <v>74</v>
      </c>
      <c r="L559" t="s">
        <v>171</v>
      </c>
      <c r="M559" t="s">
        <v>1768</v>
      </c>
      <c r="N559" t="s">
        <v>50</v>
      </c>
      <c r="O559">
        <v>9</v>
      </c>
      <c r="P559">
        <v>3769.46</v>
      </c>
      <c r="Q559" s="6">
        <v>0.05</v>
      </c>
      <c r="R559">
        <v>32228.880000000001</v>
      </c>
      <c r="S559">
        <v>24971.360000000001</v>
      </c>
      <c r="T559">
        <v>7257.52</v>
      </c>
      <c r="U559" t="s">
        <v>32</v>
      </c>
      <c r="V559" t="s">
        <v>68</v>
      </c>
      <c r="W559" s="8">
        <f t="shared" si="65"/>
        <v>0.05</v>
      </c>
      <c r="X559">
        <f t="shared" si="66"/>
        <v>32228.882999999998</v>
      </c>
      <c r="Y559">
        <f t="shared" si="67"/>
        <v>7257.5229999999974</v>
      </c>
      <c r="Z559" s="8">
        <f t="shared" si="68"/>
        <v>0.22518692317074712</v>
      </c>
      <c r="AA559" t="str">
        <f t="shared" si="69"/>
        <v>May</v>
      </c>
      <c r="AB559">
        <f t="shared" si="70"/>
        <v>2024</v>
      </c>
      <c r="AC559" t="str">
        <f t="shared" si="71"/>
        <v>Clean</v>
      </c>
    </row>
    <row r="560" spans="1:29">
      <c r="A560" t="s">
        <v>1769</v>
      </c>
      <c r="B560" s="2">
        <v>45904</v>
      </c>
      <c r="C560" s="2">
        <v>45904</v>
      </c>
      <c r="D560" s="3">
        <f t="shared" si="64"/>
        <v>0</v>
      </c>
      <c r="E560" t="s">
        <v>1770</v>
      </c>
      <c r="F560" t="s">
        <v>89</v>
      </c>
      <c r="G560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274</v>
      </c>
      <c r="M560" t="s">
        <v>1771</v>
      </c>
      <c r="N560" t="s">
        <v>50</v>
      </c>
      <c r="O560">
        <v>8</v>
      </c>
      <c r="P560">
        <v>3079.95</v>
      </c>
      <c r="Q560" s="6">
        <v>0.2</v>
      </c>
      <c r="R560">
        <v>19711.68</v>
      </c>
      <c r="S560">
        <v>14461.8</v>
      </c>
      <c r="T560">
        <v>5249.88</v>
      </c>
      <c r="U560" t="s">
        <v>32</v>
      </c>
      <c r="V560" t="s">
        <v>33</v>
      </c>
      <c r="W560" s="8">
        <f t="shared" si="65"/>
        <v>0.2</v>
      </c>
      <c r="X560">
        <f t="shared" si="66"/>
        <v>19711.68</v>
      </c>
      <c r="Y560">
        <f t="shared" si="67"/>
        <v>5249.880000000001</v>
      </c>
      <c r="Z560" s="8">
        <f t="shared" si="68"/>
        <v>0.26633346320557155</v>
      </c>
      <c r="AA560" t="str">
        <f t="shared" si="69"/>
        <v>September</v>
      </c>
      <c r="AB560">
        <f t="shared" si="70"/>
        <v>2025</v>
      </c>
      <c r="AC560" t="str">
        <f t="shared" si="71"/>
        <v>Clean</v>
      </c>
    </row>
    <row r="561" spans="1:29">
      <c r="A561" t="s">
        <v>1772</v>
      </c>
      <c r="B561" s="2">
        <v>45930</v>
      </c>
      <c r="C561" s="2">
        <v>45937</v>
      </c>
      <c r="D561" s="3">
        <f t="shared" si="64"/>
        <v>7</v>
      </c>
      <c r="E561" t="s">
        <v>1773</v>
      </c>
      <c r="F561" t="s">
        <v>162</v>
      </c>
      <c r="G561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1774</v>
      </c>
      <c r="N561" t="s">
        <v>31</v>
      </c>
      <c r="O561">
        <v>5</v>
      </c>
      <c r="P561">
        <v>3277.82</v>
      </c>
      <c r="Q561" s="6">
        <v>0.1</v>
      </c>
      <c r="R561">
        <v>14750.19</v>
      </c>
      <c r="S561">
        <v>9482.58</v>
      </c>
      <c r="T561">
        <v>5267.61</v>
      </c>
      <c r="U561" t="s">
        <v>32</v>
      </c>
      <c r="V561" t="s">
        <v>103</v>
      </c>
      <c r="W561" s="8">
        <f t="shared" si="65"/>
        <v>0.1</v>
      </c>
      <c r="X561">
        <f t="shared" si="66"/>
        <v>14750.190000000002</v>
      </c>
      <c r="Y561">
        <f t="shared" si="67"/>
        <v>5267.6100000000024</v>
      </c>
      <c r="Z561" s="8">
        <f t="shared" si="68"/>
        <v>0.35712150148574368</v>
      </c>
      <c r="AA561" t="str">
        <f t="shared" si="69"/>
        <v>September</v>
      </c>
      <c r="AB561">
        <f t="shared" si="70"/>
        <v>2025</v>
      </c>
      <c r="AC561" t="str">
        <f t="shared" si="71"/>
        <v>Clean</v>
      </c>
    </row>
    <row r="562" spans="1:29">
      <c r="A562" t="s">
        <v>1775</v>
      </c>
      <c r="B562" s="2">
        <v>45307</v>
      </c>
      <c r="C562" s="2">
        <v>45313</v>
      </c>
      <c r="D562" s="3">
        <f t="shared" si="64"/>
        <v>6</v>
      </c>
      <c r="E562" t="s">
        <v>1776</v>
      </c>
      <c r="F562" t="s">
        <v>53</v>
      </c>
      <c r="G562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1777</v>
      </c>
      <c r="N562" t="s">
        <v>59</v>
      </c>
      <c r="O562">
        <v>4</v>
      </c>
      <c r="P562">
        <v>282.52999999999997</v>
      </c>
      <c r="Q562" s="7">
        <v>0</v>
      </c>
      <c r="R562">
        <v>1130.1199999999999</v>
      </c>
      <c r="S562">
        <v>848.62</v>
      </c>
      <c r="T562">
        <v>281.5</v>
      </c>
      <c r="U562" t="s">
        <v>32</v>
      </c>
      <c r="V562" t="s">
        <v>68</v>
      </c>
      <c r="W562" s="8">
        <f t="shared" si="65"/>
        <v>0</v>
      </c>
      <c r="X562">
        <f t="shared" si="66"/>
        <v>1130.1199999999999</v>
      </c>
      <c r="Y562">
        <f t="shared" si="67"/>
        <v>281.49999999999989</v>
      </c>
      <c r="Z562" s="8">
        <f t="shared" si="68"/>
        <v>0.249088592361873</v>
      </c>
      <c r="AA562" t="str">
        <f t="shared" si="69"/>
        <v>January</v>
      </c>
      <c r="AB562">
        <f t="shared" si="70"/>
        <v>2024</v>
      </c>
      <c r="AC562" t="str">
        <f t="shared" si="71"/>
        <v>Clean</v>
      </c>
    </row>
    <row r="563" spans="1:29">
      <c r="A563" t="s">
        <v>1778</v>
      </c>
      <c r="B563" s="2">
        <v>45852</v>
      </c>
      <c r="C563" s="2">
        <v>45856</v>
      </c>
      <c r="D563" s="3">
        <f t="shared" si="64"/>
        <v>4</v>
      </c>
      <c r="E563" t="s">
        <v>1779</v>
      </c>
      <c r="F563" t="s">
        <v>89</v>
      </c>
      <c r="G563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1780</v>
      </c>
      <c r="N563" t="s">
        <v>50</v>
      </c>
      <c r="O563">
        <v>4</v>
      </c>
      <c r="P563">
        <v>725.22</v>
      </c>
      <c r="Q563" s="7">
        <v>0</v>
      </c>
      <c r="R563">
        <v>2900.88</v>
      </c>
      <c r="S563">
        <v>2391.85</v>
      </c>
      <c r="T563">
        <v>509.03</v>
      </c>
      <c r="U563" t="s">
        <v>111</v>
      </c>
      <c r="V563" t="s">
        <v>103</v>
      </c>
      <c r="W563" s="8">
        <f t="shared" si="65"/>
        <v>0</v>
      </c>
      <c r="X563">
        <f t="shared" si="66"/>
        <v>2900.88</v>
      </c>
      <c r="Y563">
        <f t="shared" si="67"/>
        <v>509.0300000000002</v>
      </c>
      <c r="Z563" s="8">
        <f t="shared" si="68"/>
        <v>0.17547433882132324</v>
      </c>
      <c r="AA563" t="str">
        <f t="shared" si="69"/>
        <v>July</v>
      </c>
      <c r="AB563">
        <f t="shared" si="70"/>
        <v>2025</v>
      </c>
      <c r="AC563" t="str">
        <f t="shared" si="71"/>
        <v>Clean</v>
      </c>
    </row>
    <row r="564" spans="1:29">
      <c r="A564" t="s">
        <v>1781</v>
      </c>
      <c r="B564" s="2">
        <v>45422</v>
      </c>
      <c r="C564" s="2">
        <v>45428</v>
      </c>
      <c r="D564" s="3">
        <f t="shared" si="64"/>
        <v>6</v>
      </c>
      <c r="E564" t="s">
        <v>1782</v>
      </c>
      <c r="F564" t="s">
        <v>23</v>
      </c>
      <c r="G564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1783</v>
      </c>
      <c r="N564" t="s">
        <v>44</v>
      </c>
      <c r="O564">
        <v>7</v>
      </c>
      <c r="P564">
        <v>121.54</v>
      </c>
      <c r="Q564" s="6">
        <v>0.2</v>
      </c>
      <c r="R564">
        <v>680.62</v>
      </c>
      <c r="S564">
        <v>463.49</v>
      </c>
      <c r="T564">
        <v>217.13</v>
      </c>
      <c r="U564" t="s">
        <v>155</v>
      </c>
      <c r="V564" t="s">
        <v>103</v>
      </c>
      <c r="W564" s="8">
        <f t="shared" si="65"/>
        <v>0.2</v>
      </c>
      <c r="X564">
        <f t="shared" si="66"/>
        <v>680.62400000000014</v>
      </c>
      <c r="Y564">
        <f t="shared" si="67"/>
        <v>217.13400000000013</v>
      </c>
      <c r="Z564" s="8">
        <f t="shared" si="68"/>
        <v>0.31902195632243363</v>
      </c>
      <c r="AA564" t="str">
        <f t="shared" si="69"/>
        <v>May</v>
      </c>
      <c r="AB564">
        <f t="shared" si="70"/>
        <v>2024</v>
      </c>
      <c r="AC564" t="str">
        <f t="shared" si="71"/>
        <v>Clean</v>
      </c>
    </row>
    <row r="565" spans="1:29">
      <c r="A565" t="s">
        <v>1784</v>
      </c>
      <c r="B565" s="2">
        <v>45418</v>
      </c>
      <c r="C565" s="2">
        <v>45631</v>
      </c>
      <c r="D565" s="3">
        <f t="shared" si="64"/>
        <v>213</v>
      </c>
      <c r="E565" t="s">
        <v>1785</v>
      </c>
      <c r="F565" t="s">
        <v>53</v>
      </c>
      <c r="G56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1786</v>
      </c>
      <c r="N565" t="s">
        <v>59</v>
      </c>
      <c r="O565">
        <v>9</v>
      </c>
      <c r="P565">
        <v>790.97</v>
      </c>
      <c r="Q565" s="6">
        <v>0.2</v>
      </c>
      <c r="R565">
        <v>5694.98</v>
      </c>
      <c r="S565">
        <v>4618.33</v>
      </c>
      <c r="T565">
        <v>1076.6500000000001</v>
      </c>
      <c r="U565" t="s">
        <v>111</v>
      </c>
      <c r="V565" t="s">
        <v>68</v>
      </c>
      <c r="W565" s="8">
        <f t="shared" si="65"/>
        <v>0.2</v>
      </c>
      <c r="X565">
        <f t="shared" si="66"/>
        <v>5694.9840000000004</v>
      </c>
      <c r="Y565">
        <f t="shared" si="67"/>
        <v>1076.6540000000005</v>
      </c>
      <c r="Z565" s="8">
        <f t="shared" si="68"/>
        <v>0.1890530333360024</v>
      </c>
      <c r="AA565" t="str">
        <f t="shared" si="69"/>
        <v>May</v>
      </c>
      <c r="AB565">
        <f t="shared" si="70"/>
        <v>2024</v>
      </c>
      <c r="AC565" t="str">
        <f t="shared" si="71"/>
        <v>Clean</v>
      </c>
    </row>
    <row r="566" spans="1:29">
      <c r="A566" t="s">
        <v>1787</v>
      </c>
      <c r="B566" s="2">
        <v>45606</v>
      </c>
      <c r="C566" s="2">
        <v>45610</v>
      </c>
      <c r="D566" s="3">
        <f t="shared" si="64"/>
        <v>4</v>
      </c>
      <c r="E566" t="s">
        <v>1788</v>
      </c>
      <c r="F566" t="s">
        <v>132</v>
      </c>
      <c r="G566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1789</v>
      </c>
      <c r="N566" t="s">
        <v>50</v>
      </c>
      <c r="O566">
        <v>2</v>
      </c>
      <c r="P566">
        <v>921.34</v>
      </c>
      <c r="Q566" s="6">
        <v>0.2</v>
      </c>
      <c r="R566">
        <v>1474.14</v>
      </c>
      <c r="S566">
        <v>968.46</v>
      </c>
      <c r="T566">
        <v>505.68</v>
      </c>
      <c r="U566" t="s">
        <v>32</v>
      </c>
      <c r="V566" t="s">
        <v>33</v>
      </c>
      <c r="W566" s="8">
        <f t="shared" si="65"/>
        <v>0.2</v>
      </c>
      <c r="X566">
        <f t="shared" si="66"/>
        <v>1474.1440000000002</v>
      </c>
      <c r="Y566">
        <f t="shared" si="67"/>
        <v>505.6840000000002</v>
      </c>
      <c r="Z566" s="8">
        <f t="shared" si="68"/>
        <v>0.34303568715132315</v>
      </c>
      <c r="AA566" t="str">
        <f t="shared" si="69"/>
        <v>November</v>
      </c>
      <c r="AB566">
        <f t="shared" si="70"/>
        <v>2024</v>
      </c>
      <c r="AC566" t="str">
        <f t="shared" si="71"/>
        <v>Clean</v>
      </c>
    </row>
    <row r="567" spans="1:29">
      <c r="A567" t="s">
        <v>1790</v>
      </c>
      <c r="B567" s="2">
        <v>45876</v>
      </c>
      <c r="C567" s="2">
        <v>45882</v>
      </c>
      <c r="D567" s="3">
        <f t="shared" si="64"/>
        <v>6</v>
      </c>
      <c r="E567" t="s">
        <v>1791</v>
      </c>
      <c r="F567" t="s">
        <v>36</v>
      </c>
      <c r="G567" t="s">
        <v>90</v>
      </c>
      <c r="H567" t="s">
        <v>25</v>
      </c>
      <c r="I567" t="s">
        <v>350</v>
      </c>
      <c r="J567" t="s">
        <v>351</v>
      </c>
      <c r="K567" t="s">
        <v>74</v>
      </c>
      <c r="L567" t="s">
        <v>171</v>
      </c>
      <c r="M567" t="s">
        <v>1792</v>
      </c>
      <c r="N567" t="s">
        <v>59</v>
      </c>
      <c r="O567">
        <v>6</v>
      </c>
      <c r="P567">
        <v>1921.86</v>
      </c>
      <c r="Q567" s="6">
        <v>0.2</v>
      </c>
      <c r="R567">
        <v>9224.93</v>
      </c>
      <c r="S567">
        <v>7005.2</v>
      </c>
      <c r="T567">
        <v>2219.73</v>
      </c>
      <c r="U567" t="s">
        <v>102</v>
      </c>
      <c r="V567" t="s">
        <v>68</v>
      </c>
      <c r="W567" s="8">
        <f t="shared" si="65"/>
        <v>0.2</v>
      </c>
      <c r="X567">
        <f t="shared" si="66"/>
        <v>9224.9279999999999</v>
      </c>
      <c r="Y567">
        <f t="shared" si="67"/>
        <v>2219.7280000000001</v>
      </c>
      <c r="Z567" s="8">
        <f t="shared" si="68"/>
        <v>0.24062279944081949</v>
      </c>
      <c r="AA567" t="str">
        <f t="shared" si="69"/>
        <v>August</v>
      </c>
      <c r="AB567">
        <f t="shared" si="70"/>
        <v>2025</v>
      </c>
      <c r="AC567" t="str">
        <f t="shared" si="71"/>
        <v>Clean</v>
      </c>
    </row>
    <row r="568" spans="1:29">
      <c r="A568" t="s">
        <v>1793</v>
      </c>
      <c r="B568" s="2">
        <v>45515</v>
      </c>
      <c r="C568" s="2">
        <v>45523</v>
      </c>
      <c r="D568" s="3">
        <f t="shared" si="64"/>
        <v>8</v>
      </c>
      <c r="E568" t="s">
        <v>1794</v>
      </c>
      <c r="F568" t="s">
        <v>132</v>
      </c>
      <c r="G568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1795</v>
      </c>
      <c r="N568" t="s">
        <v>44</v>
      </c>
      <c r="O568">
        <v>2</v>
      </c>
      <c r="P568">
        <v>2617.89</v>
      </c>
      <c r="Q568" s="6">
        <v>0.1</v>
      </c>
      <c r="R568">
        <v>4712.2</v>
      </c>
      <c r="S568">
        <v>3851.91</v>
      </c>
      <c r="T568">
        <v>860.29</v>
      </c>
      <c r="U568" t="s">
        <v>155</v>
      </c>
      <c r="V568" t="s">
        <v>103</v>
      </c>
      <c r="W568" s="8">
        <f t="shared" si="65"/>
        <v>0.1</v>
      </c>
      <c r="X568">
        <f t="shared" si="66"/>
        <v>4712.2020000000002</v>
      </c>
      <c r="Y568">
        <f t="shared" si="67"/>
        <v>860.29200000000037</v>
      </c>
      <c r="Z568" s="8">
        <f t="shared" si="68"/>
        <v>0.18256687637754077</v>
      </c>
      <c r="AA568" t="str">
        <f t="shared" si="69"/>
        <v>August</v>
      </c>
      <c r="AB568">
        <f t="shared" si="70"/>
        <v>2024</v>
      </c>
      <c r="AC568" t="str">
        <f t="shared" si="71"/>
        <v>Clean</v>
      </c>
    </row>
    <row r="569" spans="1:29">
      <c r="A569" t="s">
        <v>1796</v>
      </c>
      <c r="B569" s="2">
        <v>45328</v>
      </c>
      <c r="C569" s="2">
        <v>45567</v>
      </c>
      <c r="D569" s="3">
        <f t="shared" si="64"/>
        <v>239</v>
      </c>
      <c r="E569" t="s">
        <v>1797</v>
      </c>
      <c r="F569" t="s">
        <v>53</v>
      </c>
      <c r="G569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596</v>
      </c>
      <c r="N569" t="s">
        <v>44</v>
      </c>
      <c r="O569">
        <v>1</v>
      </c>
      <c r="P569">
        <v>1374.06</v>
      </c>
      <c r="Q569" s="6">
        <v>0.05</v>
      </c>
      <c r="R569">
        <v>1305.3599999999999</v>
      </c>
      <c r="S569">
        <v>731.89</v>
      </c>
      <c r="T569">
        <v>573.47</v>
      </c>
      <c r="U569" t="s">
        <v>32</v>
      </c>
      <c r="V569" t="s">
        <v>33</v>
      </c>
      <c r="W569" s="8">
        <f t="shared" si="65"/>
        <v>0.05</v>
      </c>
      <c r="X569">
        <f t="shared" si="66"/>
        <v>1305.357</v>
      </c>
      <c r="Y569">
        <f t="shared" si="67"/>
        <v>573.46699999999998</v>
      </c>
      <c r="Z569" s="8">
        <f t="shared" si="68"/>
        <v>0.4393181328939133</v>
      </c>
      <c r="AA569" t="str">
        <f t="shared" si="69"/>
        <v>February</v>
      </c>
      <c r="AB569">
        <f t="shared" si="70"/>
        <v>2024</v>
      </c>
      <c r="AC569" t="str">
        <f t="shared" si="71"/>
        <v>Clean</v>
      </c>
    </row>
    <row r="570" spans="1:29">
      <c r="A570" t="s">
        <v>1798</v>
      </c>
      <c r="B570" s="2">
        <v>45312</v>
      </c>
      <c r="C570" s="2">
        <v>45315</v>
      </c>
      <c r="D570" s="3">
        <f t="shared" si="64"/>
        <v>3</v>
      </c>
      <c r="E570" t="s">
        <v>1799</v>
      </c>
      <c r="F570" t="s">
        <v>264</v>
      </c>
      <c r="G570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274</v>
      </c>
      <c r="M570" t="s">
        <v>1800</v>
      </c>
      <c r="N570" t="s">
        <v>44</v>
      </c>
      <c r="O570">
        <v>1</v>
      </c>
      <c r="P570">
        <v>3806.3</v>
      </c>
      <c r="Q570" s="6">
        <v>0.25</v>
      </c>
      <c r="R570">
        <v>2854.73</v>
      </c>
      <c r="S570">
        <v>1968.12</v>
      </c>
      <c r="T570">
        <v>886.61</v>
      </c>
      <c r="U570" t="s">
        <v>32</v>
      </c>
      <c r="V570" t="s">
        <v>33</v>
      </c>
      <c r="W570" s="8">
        <f t="shared" si="65"/>
        <v>0.25</v>
      </c>
      <c r="X570">
        <f t="shared" si="66"/>
        <v>2854.7250000000004</v>
      </c>
      <c r="Y570">
        <f t="shared" si="67"/>
        <v>886.60500000000047</v>
      </c>
      <c r="Z570" s="8">
        <f t="shared" si="68"/>
        <v>0.31057457373302172</v>
      </c>
      <c r="AA570" t="str">
        <f t="shared" si="69"/>
        <v>January</v>
      </c>
      <c r="AB570">
        <f t="shared" si="70"/>
        <v>2024</v>
      </c>
      <c r="AC570" t="str">
        <f t="shared" si="71"/>
        <v>Clean</v>
      </c>
    </row>
    <row r="571" spans="1:29">
      <c r="A571" t="s">
        <v>1801</v>
      </c>
      <c r="B571" s="2">
        <v>45908</v>
      </c>
      <c r="C571" s="2">
        <v>45910</v>
      </c>
      <c r="D571" s="3">
        <f t="shared" si="64"/>
        <v>2</v>
      </c>
      <c r="E571" t="s">
        <v>1802</v>
      </c>
      <c r="F571" t="s">
        <v>118</v>
      </c>
      <c r="G571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1803</v>
      </c>
      <c r="N571" t="s">
        <v>59</v>
      </c>
      <c r="O571">
        <v>6</v>
      </c>
      <c r="P571">
        <v>3251.17</v>
      </c>
      <c r="Q571" s="6">
        <v>0.25</v>
      </c>
      <c r="R571">
        <v>14630.26</v>
      </c>
      <c r="S571">
        <v>11906.36</v>
      </c>
      <c r="T571">
        <v>2723.9</v>
      </c>
      <c r="U571" t="s">
        <v>102</v>
      </c>
      <c r="V571" t="s">
        <v>103</v>
      </c>
      <c r="W571" s="8">
        <f t="shared" si="65"/>
        <v>0.25</v>
      </c>
      <c r="X571">
        <f t="shared" si="66"/>
        <v>14630.264999999999</v>
      </c>
      <c r="Y571">
        <f t="shared" si="67"/>
        <v>2723.9049999999988</v>
      </c>
      <c r="Z571" s="8">
        <f t="shared" si="68"/>
        <v>0.18618288868998606</v>
      </c>
      <c r="AA571" t="str">
        <f t="shared" si="69"/>
        <v>September</v>
      </c>
      <c r="AB571">
        <f t="shared" si="70"/>
        <v>2025</v>
      </c>
      <c r="AC571" t="str">
        <f t="shared" si="71"/>
        <v>Clean</v>
      </c>
    </row>
    <row r="572" spans="1:29">
      <c r="A572" t="s">
        <v>1804</v>
      </c>
      <c r="B572" s="2">
        <v>45887</v>
      </c>
      <c r="C572" s="2">
        <v>45891</v>
      </c>
      <c r="D572" s="3">
        <f t="shared" si="64"/>
        <v>4</v>
      </c>
      <c r="E572" t="s">
        <v>1805</v>
      </c>
      <c r="F572" t="s">
        <v>53</v>
      </c>
      <c r="G572" t="s">
        <v>24</v>
      </c>
      <c r="H572" t="s">
        <v>38</v>
      </c>
      <c r="I572" t="s">
        <v>228</v>
      </c>
      <c r="J572" t="s">
        <v>229</v>
      </c>
      <c r="K572" t="s">
        <v>41</v>
      </c>
      <c r="L572" t="s">
        <v>57</v>
      </c>
      <c r="M572" t="s">
        <v>1806</v>
      </c>
      <c r="N572" t="s">
        <v>31</v>
      </c>
      <c r="O572">
        <v>3</v>
      </c>
      <c r="P572">
        <v>3946.44</v>
      </c>
      <c r="Q572" s="6">
        <v>0.25</v>
      </c>
      <c r="R572">
        <v>8879.49</v>
      </c>
      <c r="S572">
        <v>6344.57</v>
      </c>
      <c r="T572">
        <v>2534.92</v>
      </c>
      <c r="U572" t="s">
        <v>155</v>
      </c>
      <c r="V572" t="s">
        <v>103</v>
      </c>
      <c r="W572" s="8">
        <f t="shared" si="65"/>
        <v>0.25</v>
      </c>
      <c r="X572">
        <f t="shared" si="66"/>
        <v>8879.49</v>
      </c>
      <c r="Y572">
        <f t="shared" si="67"/>
        <v>2534.92</v>
      </c>
      <c r="Z572" s="8">
        <f t="shared" si="68"/>
        <v>0.28548035979543873</v>
      </c>
      <c r="AA572" t="str">
        <f t="shared" si="69"/>
        <v>August</v>
      </c>
      <c r="AB572">
        <f t="shared" si="70"/>
        <v>2025</v>
      </c>
      <c r="AC572" t="str">
        <f t="shared" si="71"/>
        <v>Clean</v>
      </c>
    </row>
    <row r="573" spans="1:29">
      <c r="A573" s="4" t="s">
        <v>1807</v>
      </c>
      <c r="B573" s="2">
        <v>45698</v>
      </c>
      <c r="C573" s="2">
        <v>45702</v>
      </c>
      <c r="D573" s="3">
        <f t="shared" si="64"/>
        <v>4</v>
      </c>
      <c r="E573" t="s">
        <v>1808</v>
      </c>
      <c r="F573" t="s">
        <v>114</v>
      </c>
      <c r="G573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1809</v>
      </c>
      <c r="N573" s="4" t="s">
        <v>2760</v>
      </c>
      <c r="O573">
        <v>5</v>
      </c>
      <c r="P573">
        <v>4276.29</v>
      </c>
      <c r="Q573" s="7">
        <v>0</v>
      </c>
      <c r="R573">
        <v>21381.45</v>
      </c>
      <c r="S573">
        <v>13240.21</v>
      </c>
      <c r="T573">
        <v>8141.24</v>
      </c>
      <c r="U573" t="s">
        <v>155</v>
      </c>
      <c r="V573" t="s">
        <v>103</v>
      </c>
      <c r="W573" s="8">
        <f t="shared" si="65"/>
        <v>0</v>
      </c>
      <c r="X573">
        <f t="shared" si="66"/>
        <v>21381.45</v>
      </c>
      <c r="Y573">
        <f t="shared" si="67"/>
        <v>8141.2400000000016</v>
      </c>
      <c r="Z573" s="8">
        <f t="shared" si="68"/>
        <v>0.38076182859441249</v>
      </c>
      <c r="AA573" t="str">
        <f t="shared" si="69"/>
        <v>February</v>
      </c>
      <c r="AB573">
        <f t="shared" si="70"/>
        <v>2025</v>
      </c>
      <c r="AC573" t="str">
        <f t="shared" si="71"/>
        <v>Clean</v>
      </c>
    </row>
    <row r="574" spans="1:29">
      <c r="A574" t="s">
        <v>1810</v>
      </c>
      <c r="B574" s="2">
        <v>45293</v>
      </c>
      <c r="C574" s="2">
        <v>45536</v>
      </c>
      <c r="D574" s="3">
        <f t="shared" si="64"/>
        <v>243</v>
      </c>
      <c r="E574" t="s">
        <v>1811</v>
      </c>
      <c r="F574" t="s">
        <v>162</v>
      </c>
      <c r="G574" t="s">
        <v>90</v>
      </c>
      <c r="H574" t="s">
        <v>25</v>
      </c>
      <c r="I574" t="s">
        <v>350</v>
      </c>
      <c r="J574" t="s">
        <v>351</v>
      </c>
      <c r="K574" t="s">
        <v>74</v>
      </c>
      <c r="L574" t="s">
        <v>171</v>
      </c>
      <c r="M574" t="s">
        <v>1812</v>
      </c>
      <c r="N574" t="s">
        <v>59</v>
      </c>
      <c r="O574">
        <v>3</v>
      </c>
      <c r="P574">
        <v>739.56</v>
      </c>
      <c r="Q574" s="6">
        <v>0.2</v>
      </c>
      <c r="R574">
        <v>1774.94</v>
      </c>
      <c r="S574">
        <v>1007.4</v>
      </c>
      <c r="T574">
        <v>767.54</v>
      </c>
      <c r="U574" t="s">
        <v>32</v>
      </c>
      <c r="V574" t="s">
        <v>33</v>
      </c>
      <c r="W574" s="8">
        <f t="shared" si="65"/>
        <v>0.2</v>
      </c>
      <c r="X574">
        <f t="shared" si="66"/>
        <v>1774.944</v>
      </c>
      <c r="Y574">
        <f t="shared" si="67"/>
        <v>767.54399999999998</v>
      </c>
      <c r="Z574" s="8">
        <f t="shared" si="68"/>
        <v>0.43243279787982042</v>
      </c>
      <c r="AA574" t="str">
        <f t="shared" si="69"/>
        <v>January</v>
      </c>
      <c r="AB574">
        <f t="shared" si="70"/>
        <v>2024</v>
      </c>
      <c r="AC574" t="str">
        <f t="shared" si="71"/>
        <v>Clean</v>
      </c>
    </row>
    <row r="575" spans="1:29">
      <c r="A575" t="s">
        <v>1813</v>
      </c>
      <c r="B575" s="2">
        <v>45922</v>
      </c>
      <c r="C575" s="2">
        <v>45926</v>
      </c>
      <c r="D575" s="3">
        <f t="shared" si="64"/>
        <v>4</v>
      </c>
      <c r="E575" t="s">
        <v>1814</v>
      </c>
      <c r="F575" t="s">
        <v>47</v>
      </c>
      <c r="G57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1815</v>
      </c>
      <c r="N575" t="s">
        <v>59</v>
      </c>
      <c r="O575">
        <v>1</v>
      </c>
      <c r="P575">
        <v>573.65</v>
      </c>
      <c r="Q575" s="7">
        <v>0</v>
      </c>
      <c r="R575">
        <v>573.65</v>
      </c>
      <c r="S575">
        <v>322.67</v>
      </c>
      <c r="T575">
        <v>250.98</v>
      </c>
      <c r="U575" t="s">
        <v>32</v>
      </c>
      <c r="V575" t="s">
        <v>33</v>
      </c>
      <c r="W575" s="8">
        <f t="shared" si="65"/>
        <v>0</v>
      </c>
      <c r="X575">
        <f t="shared" si="66"/>
        <v>573.65</v>
      </c>
      <c r="Y575">
        <f t="shared" si="67"/>
        <v>250.97999999999996</v>
      </c>
      <c r="Z575" s="8">
        <f t="shared" si="68"/>
        <v>0.43751416368866031</v>
      </c>
      <c r="AA575" t="str">
        <f t="shared" si="69"/>
        <v>September</v>
      </c>
      <c r="AB575">
        <f t="shared" si="70"/>
        <v>2025</v>
      </c>
      <c r="AC575" t="str">
        <f t="shared" si="71"/>
        <v>Clean</v>
      </c>
    </row>
    <row r="576" spans="1:29">
      <c r="A576" t="s">
        <v>1816</v>
      </c>
      <c r="B576" s="2">
        <v>45342</v>
      </c>
      <c r="C576" s="2">
        <v>45347</v>
      </c>
      <c r="D576" s="3">
        <f t="shared" si="64"/>
        <v>5</v>
      </c>
      <c r="E576" t="s">
        <v>800</v>
      </c>
      <c r="F576" t="s">
        <v>162</v>
      </c>
      <c r="G576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274</v>
      </c>
      <c r="M576" t="s">
        <v>1817</v>
      </c>
      <c r="N576" t="s">
        <v>59</v>
      </c>
      <c r="O576">
        <v>4</v>
      </c>
      <c r="P576">
        <v>1355.8</v>
      </c>
      <c r="Q576" s="7">
        <v>0</v>
      </c>
      <c r="R576">
        <v>5423.2</v>
      </c>
      <c r="S576">
        <v>4072.44</v>
      </c>
      <c r="T576">
        <v>1350.76</v>
      </c>
      <c r="U576" t="s">
        <v>32</v>
      </c>
      <c r="V576" t="s">
        <v>33</v>
      </c>
      <c r="W576" s="8">
        <f t="shared" si="65"/>
        <v>0</v>
      </c>
      <c r="X576">
        <f t="shared" si="66"/>
        <v>5423.2</v>
      </c>
      <c r="Y576">
        <f t="shared" si="67"/>
        <v>1350.7599999999998</v>
      </c>
      <c r="Z576" s="8">
        <f t="shared" si="68"/>
        <v>0.24907065938929043</v>
      </c>
      <c r="AA576" t="str">
        <f t="shared" si="69"/>
        <v>February</v>
      </c>
      <c r="AB576">
        <f t="shared" si="70"/>
        <v>2024</v>
      </c>
      <c r="AC576" t="str">
        <f t="shared" si="71"/>
        <v>Clean</v>
      </c>
    </row>
    <row r="577" spans="1:29">
      <c r="A577" t="s">
        <v>1818</v>
      </c>
      <c r="B577" s="2">
        <v>45727</v>
      </c>
      <c r="C577" s="2">
        <v>45730</v>
      </c>
      <c r="D577" s="3">
        <f t="shared" si="64"/>
        <v>3</v>
      </c>
      <c r="E577" t="s">
        <v>1819</v>
      </c>
      <c r="F577" t="s">
        <v>132</v>
      </c>
      <c r="G577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1820</v>
      </c>
      <c r="N577" t="s">
        <v>44</v>
      </c>
      <c r="O577">
        <v>4</v>
      </c>
      <c r="P577">
        <v>1244.82</v>
      </c>
      <c r="Q577" s="6">
        <v>0.2</v>
      </c>
      <c r="R577">
        <v>3983.42</v>
      </c>
      <c r="S577">
        <v>3174.91</v>
      </c>
      <c r="T577">
        <v>808.51</v>
      </c>
      <c r="U577" t="s">
        <v>155</v>
      </c>
      <c r="V577" t="s">
        <v>103</v>
      </c>
      <c r="W577" s="8">
        <f t="shared" si="65"/>
        <v>0.2</v>
      </c>
      <c r="X577">
        <f t="shared" si="66"/>
        <v>3983.424</v>
      </c>
      <c r="Y577">
        <f t="shared" si="67"/>
        <v>808.51400000000012</v>
      </c>
      <c r="Z577" s="8">
        <f t="shared" si="68"/>
        <v>0.2029696060474607</v>
      </c>
      <c r="AA577" t="str">
        <f t="shared" si="69"/>
        <v>March</v>
      </c>
      <c r="AB577">
        <f t="shared" si="70"/>
        <v>2025</v>
      </c>
      <c r="AC577" t="str">
        <f t="shared" si="71"/>
        <v>Clean</v>
      </c>
    </row>
    <row r="578" spans="1:29">
      <c r="A578" t="s">
        <v>1821</v>
      </c>
      <c r="B578" s="2">
        <v>45339</v>
      </c>
      <c r="C578" s="2">
        <v>45345</v>
      </c>
      <c r="D578" s="3">
        <f t="shared" ref="D578:D641" si="72">C578-B578</f>
        <v>6</v>
      </c>
      <c r="E578" t="s">
        <v>1822</v>
      </c>
      <c r="F578" t="s">
        <v>141</v>
      </c>
      <c r="G578" t="s">
        <v>95</v>
      </c>
      <c r="H578" s="4" t="s">
        <v>2760</v>
      </c>
      <c r="I578" t="s">
        <v>145</v>
      </c>
      <c r="J578" t="s">
        <v>146</v>
      </c>
      <c r="K578" t="s">
        <v>28</v>
      </c>
      <c r="L578" t="s">
        <v>153</v>
      </c>
      <c r="M578" t="s">
        <v>1823</v>
      </c>
      <c r="N578" t="s">
        <v>59</v>
      </c>
      <c r="O578">
        <v>9</v>
      </c>
      <c r="P578">
        <v>2614.46</v>
      </c>
      <c r="Q578" s="7">
        <v>0</v>
      </c>
      <c r="R578">
        <v>23530.14</v>
      </c>
      <c r="S578">
        <v>19537.79</v>
      </c>
      <c r="T578">
        <v>3992.35</v>
      </c>
      <c r="U578" t="s">
        <v>102</v>
      </c>
      <c r="V578" t="s">
        <v>103</v>
      </c>
      <c r="W578" s="8">
        <f t="shared" si="65"/>
        <v>0</v>
      </c>
      <c r="X578">
        <f t="shared" si="66"/>
        <v>23530.14</v>
      </c>
      <c r="Y578">
        <f t="shared" si="67"/>
        <v>3992.3499999999985</v>
      </c>
      <c r="Z578" s="8">
        <f t="shared" si="68"/>
        <v>0.16966962372514566</v>
      </c>
      <c r="AA578" t="str">
        <f t="shared" si="69"/>
        <v>February</v>
      </c>
      <c r="AB578">
        <f t="shared" si="70"/>
        <v>2024</v>
      </c>
      <c r="AC578" t="str">
        <f t="shared" si="71"/>
        <v>Clean</v>
      </c>
    </row>
    <row r="579" spans="1:29">
      <c r="A579" t="s">
        <v>1824</v>
      </c>
      <c r="B579" s="2">
        <v>45897</v>
      </c>
      <c r="C579" s="2">
        <v>45903</v>
      </c>
      <c r="D579" s="3">
        <f t="shared" si="72"/>
        <v>6</v>
      </c>
      <c r="E579" t="s">
        <v>1825</v>
      </c>
      <c r="F579" t="s">
        <v>114</v>
      </c>
      <c r="G579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1826</v>
      </c>
      <c r="N579" t="s">
        <v>59</v>
      </c>
      <c r="O579">
        <v>7</v>
      </c>
      <c r="P579">
        <v>268.45</v>
      </c>
      <c r="Q579" s="7">
        <v>0</v>
      </c>
      <c r="R579">
        <v>1879.15</v>
      </c>
      <c r="S579">
        <v>1134.9000000000001</v>
      </c>
      <c r="T579">
        <v>744.25</v>
      </c>
      <c r="U579" t="s">
        <v>32</v>
      </c>
      <c r="V579" t="s">
        <v>33</v>
      </c>
      <c r="W579" s="8">
        <f t="shared" ref="W579:W642" si="73">Q579</f>
        <v>0</v>
      </c>
      <c r="X579">
        <f t="shared" ref="X579:X642" si="74">O579*P579*(1-W579)</f>
        <v>1879.1499999999999</v>
      </c>
      <c r="Y579">
        <f t="shared" ref="Y579:Y642" si="75">X579-S579</f>
        <v>744.24999999999977</v>
      </c>
      <c r="Z579" s="8">
        <f t="shared" ref="Z579:Z642" si="76">IF(X579=0,0,Y579/X579)</f>
        <v>0.39605672777585599</v>
      </c>
      <c r="AA579" t="str">
        <f t="shared" ref="AA579:AA642" si="77">TEXT(B579,"mmmm")</f>
        <v>August</v>
      </c>
      <c r="AB579">
        <f t="shared" ref="AB579:AB642" si="78">YEAR(B579)</f>
        <v>2025</v>
      </c>
      <c r="AC579" t="str">
        <f t="shared" ref="AC579:AC642" si="79">IF(Q579&lt;0,"Invalid",IF(D579&lt;0,"Warning","Clean"))</f>
        <v>Clean</v>
      </c>
    </row>
    <row r="580" spans="1:29">
      <c r="A580" t="s">
        <v>1827</v>
      </c>
      <c r="B580" s="2">
        <v>45343</v>
      </c>
      <c r="C580" s="2">
        <v>45345</v>
      </c>
      <c r="D580" s="3">
        <f t="shared" si="72"/>
        <v>2</v>
      </c>
      <c r="E580" t="s">
        <v>295</v>
      </c>
      <c r="F580" t="s">
        <v>79</v>
      </c>
      <c r="G580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1828</v>
      </c>
      <c r="N580" t="s">
        <v>50</v>
      </c>
      <c r="O580">
        <v>6</v>
      </c>
      <c r="P580">
        <v>2633.65</v>
      </c>
      <c r="Q580" s="6">
        <v>0.05</v>
      </c>
      <c r="R580">
        <v>15011.81</v>
      </c>
      <c r="S580">
        <v>9660.36</v>
      </c>
      <c r="T580">
        <v>5351.45</v>
      </c>
      <c r="U580" t="s">
        <v>32</v>
      </c>
      <c r="V580" t="s">
        <v>33</v>
      </c>
      <c r="W580" s="8">
        <f t="shared" si="73"/>
        <v>0.05</v>
      </c>
      <c r="X580">
        <f t="shared" si="74"/>
        <v>15011.805</v>
      </c>
      <c r="Y580">
        <f t="shared" si="75"/>
        <v>5351.4449999999997</v>
      </c>
      <c r="Z580" s="8">
        <f t="shared" si="76"/>
        <v>0.35648244831317749</v>
      </c>
      <c r="AA580" t="str">
        <f t="shared" si="77"/>
        <v>February</v>
      </c>
      <c r="AB580">
        <f t="shared" si="78"/>
        <v>2024</v>
      </c>
      <c r="AC580" t="str">
        <f t="shared" si="79"/>
        <v>Clean</v>
      </c>
    </row>
    <row r="581" spans="1:29">
      <c r="A581" t="s">
        <v>1829</v>
      </c>
      <c r="B581" s="2">
        <v>45462</v>
      </c>
      <c r="C581" s="2">
        <v>45467</v>
      </c>
      <c r="D581" s="3">
        <f t="shared" si="72"/>
        <v>5</v>
      </c>
      <c r="E581" t="s">
        <v>1830</v>
      </c>
      <c r="F581" t="s">
        <v>128</v>
      </c>
      <c r="G581" t="s">
        <v>37</v>
      </c>
      <c r="H581" t="s">
        <v>54</v>
      </c>
      <c r="I581" t="s">
        <v>247</v>
      </c>
      <c r="J581" t="s">
        <v>248</v>
      </c>
      <c r="K581" t="s">
        <v>28</v>
      </c>
      <c r="L581" t="s">
        <v>124</v>
      </c>
      <c r="M581" t="s">
        <v>1831</v>
      </c>
      <c r="N581" t="s">
        <v>44</v>
      </c>
      <c r="O581">
        <v>1</v>
      </c>
      <c r="P581">
        <v>3202.41</v>
      </c>
      <c r="Q581" s="7">
        <v>0</v>
      </c>
      <c r="R581">
        <v>3202.41</v>
      </c>
      <c r="S581">
        <v>2608.44</v>
      </c>
      <c r="T581">
        <v>593.97</v>
      </c>
      <c r="U581" t="s">
        <v>32</v>
      </c>
      <c r="V581" t="s">
        <v>33</v>
      </c>
      <c r="W581" s="8">
        <f t="shared" si="73"/>
        <v>0</v>
      </c>
      <c r="X581">
        <f t="shared" si="74"/>
        <v>3202.41</v>
      </c>
      <c r="Y581">
        <f t="shared" si="75"/>
        <v>593.9699999999998</v>
      </c>
      <c r="Z581" s="8">
        <f t="shared" si="76"/>
        <v>0.18547593843386695</v>
      </c>
      <c r="AA581" t="str">
        <f t="shared" si="77"/>
        <v>June</v>
      </c>
      <c r="AB581">
        <f t="shared" si="78"/>
        <v>2024</v>
      </c>
      <c r="AC581" t="str">
        <f t="shared" si="79"/>
        <v>Clean</v>
      </c>
    </row>
    <row r="582" spans="1:29">
      <c r="A582" t="s">
        <v>1832</v>
      </c>
      <c r="B582" s="2">
        <v>45811</v>
      </c>
      <c r="C582" s="2">
        <v>45729</v>
      </c>
      <c r="D582" s="5">
        <f t="shared" si="72"/>
        <v>-82</v>
      </c>
      <c r="E582" t="s">
        <v>1833</v>
      </c>
      <c r="F582" t="s">
        <v>264</v>
      </c>
      <c r="G582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1834</v>
      </c>
      <c r="N582" t="s">
        <v>59</v>
      </c>
      <c r="O582">
        <v>3</v>
      </c>
      <c r="P582">
        <v>163.72</v>
      </c>
      <c r="Q582" s="6">
        <v>0.15</v>
      </c>
      <c r="R582">
        <v>417.49</v>
      </c>
      <c r="S582">
        <v>261.67</v>
      </c>
      <c r="T582">
        <v>155.82</v>
      </c>
      <c r="U582" t="s">
        <v>155</v>
      </c>
      <c r="V582" t="s">
        <v>103</v>
      </c>
      <c r="W582" s="8">
        <f t="shared" si="73"/>
        <v>0.15</v>
      </c>
      <c r="X582">
        <f t="shared" si="74"/>
        <v>417.48599999999999</v>
      </c>
      <c r="Y582">
        <f t="shared" si="75"/>
        <v>155.81599999999997</v>
      </c>
      <c r="Z582" s="8">
        <f t="shared" si="76"/>
        <v>0.37322449136018926</v>
      </c>
      <c r="AA582" t="str">
        <f t="shared" si="77"/>
        <v>June</v>
      </c>
      <c r="AB582">
        <f t="shared" si="78"/>
        <v>2025</v>
      </c>
      <c r="AC582" t="str">
        <f t="shared" si="79"/>
        <v>Warning</v>
      </c>
    </row>
    <row r="583" spans="1:29">
      <c r="A583" t="s">
        <v>1835</v>
      </c>
      <c r="B583" s="2">
        <v>45878</v>
      </c>
      <c r="C583" s="2">
        <v>45879</v>
      </c>
      <c r="D583" s="3">
        <f t="shared" si="72"/>
        <v>1</v>
      </c>
      <c r="E583" t="s">
        <v>1836</v>
      </c>
      <c r="F583" t="s">
        <v>79</v>
      </c>
      <c r="G583" t="s">
        <v>24</v>
      </c>
      <c r="H583" t="s">
        <v>25</v>
      </c>
      <c r="I583" t="s">
        <v>350</v>
      </c>
      <c r="J583" t="s">
        <v>351</v>
      </c>
      <c r="K583" t="s">
        <v>28</v>
      </c>
      <c r="L583" t="s">
        <v>48</v>
      </c>
      <c r="M583" t="s">
        <v>1837</v>
      </c>
      <c r="N583" t="s">
        <v>31</v>
      </c>
      <c r="O583">
        <v>4</v>
      </c>
      <c r="P583">
        <v>4080.95</v>
      </c>
      <c r="Q583" s="7">
        <v>0</v>
      </c>
      <c r="R583">
        <v>16323.8</v>
      </c>
      <c r="S583">
        <v>9965.7900000000009</v>
      </c>
      <c r="T583">
        <v>6358.01</v>
      </c>
      <c r="U583" t="s">
        <v>102</v>
      </c>
      <c r="V583" t="s">
        <v>103</v>
      </c>
      <c r="W583" s="8">
        <f t="shared" si="73"/>
        <v>0</v>
      </c>
      <c r="X583">
        <f t="shared" si="74"/>
        <v>16323.8</v>
      </c>
      <c r="Y583">
        <f t="shared" si="75"/>
        <v>6358.0099999999984</v>
      </c>
      <c r="Z583" s="8">
        <f t="shared" si="76"/>
        <v>0.38949325524693995</v>
      </c>
      <c r="AA583" t="str">
        <f t="shared" si="77"/>
        <v>August</v>
      </c>
      <c r="AB583">
        <f t="shared" si="78"/>
        <v>2025</v>
      </c>
      <c r="AC583" t="str">
        <f t="shared" si="79"/>
        <v>Clean</v>
      </c>
    </row>
    <row r="584" spans="1:29">
      <c r="A584" t="s">
        <v>1838</v>
      </c>
      <c r="B584" s="2">
        <v>45580</v>
      </c>
      <c r="C584" s="2">
        <v>45585</v>
      </c>
      <c r="D584" s="3">
        <f t="shared" si="72"/>
        <v>5</v>
      </c>
      <c r="E584" t="s">
        <v>1839</v>
      </c>
      <c r="F584" t="s">
        <v>62</v>
      </c>
      <c r="G584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1840</v>
      </c>
      <c r="N584" t="s">
        <v>50</v>
      </c>
      <c r="O584">
        <v>5</v>
      </c>
      <c r="P584">
        <v>671.24</v>
      </c>
      <c r="Q584" s="7">
        <v>0</v>
      </c>
      <c r="R584">
        <v>3356.2</v>
      </c>
      <c r="S584">
        <v>2205.7199999999998</v>
      </c>
      <c r="T584">
        <v>1150.48</v>
      </c>
      <c r="U584" t="s">
        <v>111</v>
      </c>
      <c r="V584" t="s">
        <v>103</v>
      </c>
      <c r="W584" s="8">
        <f t="shared" si="73"/>
        <v>0</v>
      </c>
      <c r="X584">
        <f t="shared" si="74"/>
        <v>3356.2</v>
      </c>
      <c r="Y584">
        <f t="shared" si="75"/>
        <v>1150.48</v>
      </c>
      <c r="Z584" s="8">
        <f t="shared" si="76"/>
        <v>0.34279244383528995</v>
      </c>
      <c r="AA584" t="str">
        <f t="shared" si="77"/>
        <v>October</v>
      </c>
      <c r="AB584">
        <f t="shared" si="78"/>
        <v>2024</v>
      </c>
      <c r="AC584" t="str">
        <f t="shared" si="79"/>
        <v>Clean</v>
      </c>
    </row>
    <row r="585" spans="1:29">
      <c r="A585" t="s">
        <v>1841</v>
      </c>
      <c r="B585" s="2">
        <v>45350</v>
      </c>
      <c r="C585" s="2">
        <v>45350</v>
      </c>
      <c r="D585" s="3">
        <f t="shared" si="72"/>
        <v>0</v>
      </c>
      <c r="E585" t="s">
        <v>1842</v>
      </c>
      <c r="F585" t="s">
        <v>141</v>
      </c>
      <c r="G58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1843</v>
      </c>
      <c r="N585" t="s">
        <v>50</v>
      </c>
      <c r="O585">
        <v>1</v>
      </c>
      <c r="P585">
        <v>2626.84</v>
      </c>
      <c r="Q585" s="6">
        <v>0.2</v>
      </c>
      <c r="R585">
        <v>2101.4699999999998</v>
      </c>
      <c r="S585">
        <v>1217.83</v>
      </c>
      <c r="T585">
        <v>883.64</v>
      </c>
      <c r="U585" t="s">
        <v>155</v>
      </c>
      <c r="V585" t="s">
        <v>103</v>
      </c>
      <c r="W585" s="8">
        <f t="shared" si="73"/>
        <v>0.2</v>
      </c>
      <c r="X585">
        <f t="shared" si="74"/>
        <v>2101.4720000000002</v>
      </c>
      <c r="Y585">
        <f t="shared" si="75"/>
        <v>883.64200000000028</v>
      </c>
      <c r="Z585" s="8">
        <f t="shared" si="76"/>
        <v>0.42048716328364127</v>
      </c>
      <c r="AA585" t="str">
        <f t="shared" si="77"/>
        <v>February</v>
      </c>
      <c r="AB585">
        <f t="shared" si="78"/>
        <v>2024</v>
      </c>
      <c r="AC585" t="str">
        <f t="shared" si="79"/>
        <v>Clean</v>
      </c>
    </row>
    <row r="586" spans="1:29">
      <c r="A586" t="s">
        <v>1844</v>
      </c>
      <c r="B586" s="2">
        <v>45508</v>
      </c>
      <c r="C586" s="2">
        <v>45573</v>
      </c>
      <c r="D586" s="3">
        <f t="shared" si="72"/>
        <v>65</v>
      </c>
      <c r="E586" t="s">
        <v>1845</v>
      </c>
      <c r="F586" t="s">
        <v>71</v>
      </c>
      <c r="G586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1846</v>
      </c>
      <c r="N586" t="s">
        <v>44</v>
      </c>
      <c r="O586">
        <v>1</v>
      </c>
      <c r="P586">
        <v>984.93</v>
      </c>
      <c r="Q586" s="6">
        <v>0.15</v>
      </c>
      <c r="R586">
        <v>837.19</v>
      </c>
      <c r="S586">
        <v>583.79</v>
      </c>
      <c r="T586">
        <v>253.4</v>
      </c>
      <c r="U586" t="s">
        <v>111</v>
      </c>
      <c r="V586" t="s">
        <v>103</v>
      </c>
      <c r="W586" s="8">
        <f t="shared" si="73"/>
        <v>0.15</v>
      </c>
      <c r="X586">
        <f t="shared" si="74"/>
        <v>837.19049999999993</v>
      </c>
      <c r="Y586">
        <f t="shared" si="75"/>
        <v>253.40049999999997</v>
      </c>
      <c r="Z586" s="8">
        <f t="shared" si="76"/>
        <v>0.30267961712417901</v>
      </c>
      <c r="AA586" t="str">
        <f t="shared" si="77"/>
        <v>August</v>
      </c>
      <c r="AB586">
        <f t="shared" si="78"/>
        <v>2024</v>
      </c>
      <c r="AC586" t="str">
        <f t="shared" si="79"/>
        <v>Clean</v>
      </c>
    </row>
    <row r="587" spans="1:29">
      <c r="A587" t="s">
        <v>1847</v>
      </c>
      <c r="B587" s="2">
        <v>45830</v>
      </c>
      <c r="C587" s="2">
        <v>45833</v>
      </c>
      <c r="D587" s="3">
        <f t="shared" si="72"/>
        <v>3</v>
      </c>
      <c r="E587" t="s">
        <v>1848</v>
      </c>
      <c r="F587" t="s">
        <v>162</v>
      </c>
      <c r="G587" t="s">
        <v>37</v>
      </c>
      <c r="H587" t="s">
        <v>63</v>
      </c>
      <c r="I587" t="s">
        <v>64</v>
      </c>
      <c r="J587" t="s">
        <v>65</v>
      </c>
      <c r="K587" t="s">
        <v>74</v>
      </c>
      <c r="L587" t="s">
        <v>171</v>
      </c>
      <c r="M587" t="s">
        <v>1849</v>
      </c>
      <c r="N587" t="s">
        <v>50</v>
      </c>
      <c r="O587">
        <v>8</v>
      </c>
      <c r="P587">
        <v>3453.66</v>
      </c>
      <c r="Q587" s="7">
        <v>0</v>
      </c>
      <c r="R587">
        <v>27629.279999999999</v>
      </c>
      <c r="S587">
        <v>22026.48</v>
      </c>
      <c r="T587">
        <v>5602.8</v>
      </c>
      <c r="U587" t="s">
        <v>32</v>
      </c>
      <c r="V587" t="s">
        <v>33</v>
      </c>
      <c r="W587" s="8">
        <f t="shared" si="73"/>
        <v>0</v>
      </c>
      <c r="X587">
        <f t="shared" si="74"/>
        <v>27629.279999999999</v>
      </c>
      <c r="Y587">
        <f t="shared" si="75"/>
        <v>5602.7999999999993</v>
      </c>
      <c r="Z587" s="8">
        <f t="shared" si="76"/>
        <v>0.20278487170132553</v>
      </c>
      <c r="AA587" t="str">
        <f t="shared" si="77"/>
        <v>June</v>
      </c>
      <c r="AB587">
        <f t="shared" si="78"/>
        <v>2025</v>
      </c>
      <c r="AC587" t="str">
        <f t="shared" si="79"/>
        <v>Clean</v>
      </c>
    </row>
    <row r="588" spans="1:29">
      <c r="A588" t="s">
        <v>1850</v>
      </c>
      <c r="B588" s="2">
        <v>45995</v>
      </c>
      <c r="C588" s="2">
        <v>45759</v>
      </c>
      <c r="D588" s="5">
        <f t="shared" si="72"/>
        <v>-236</v>
      </c>
      <c r="E588" t="s">
        <v>1851</v>
      </c>
      <c r="F588" t="s">
        <v>36</v>
      </c>
      <c r="G588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1852</v>
      </c>
      <c r="N588" t="s">
        <v>31</v>
      </c>
      <c r="O588">
        <v>7</v>
      </c>
      <c r="P588">
        <v>1334.2</v>
      </c>
      <c r="Q588" s="6">
        <v>0.2</v>
      </c>
      <c r="R588">
        <v>7471.52</v>
      </c>
      <c r="S588">
        <v>6184.32</v>
      </c>
      <c r="T588">
        <v>1287.2</v>
      </c>
      <c r="U588" t="s">
        <v>32</v>
      </c>
      <c r="V588" t="s">
        <v>33</v>
      </c>
      <c r="W588" s="8">
        <f t="shared" si="73"/>
        <v>0.2</v>
      </c>
      <c r="X588">
        <f t="shared" si="74"/>
        <v>7471.52</v>
      </c>
      <c r="Y588">
        <f t="shared" si="75"/>
        <v>1287.2000000000007</v>
      </c>
      <c r="Z588" s="8">
        <f t="shared" si="76"/>
        <v>0.17228087457438387</v>
      </c>
      <c r="AA588" t="str">
        <f t="shared" si="77"/>
        <v>December</v>
      </c>
      <c r="AB588">
        <f t="shared" si="78"/>
        <v>2025</v>
      </c>
      <c r="AC588" t="str">
        <f t="shared" si="79"/>
        <v>Warning</v>
      </c>
    </row>
    <row r="589" spans="1:29">
      <c r="A589" t="s">
        <v>1853</v>
      </c>
      <c r="B589" s="2">
        <v>45861</v>
      </c>
      <c r="C589" s="2">
        <v>45869</v>
      </c>
      <c r="D589" s="3">
        <f t="shared" si="72"/>
        <v>8</v>
      </c>
      <c r="E589" t="s">
        <v>1854</v>
      </c>
      <c r="F589" t="s">
        <v>264</v>
      </c>
      <c r="G589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1855</v>
      </c>
      <c r="N589" t="s">
        <v>50</v>
      </c>
      <c r="O589">
        <v>1</v>
      </c>
      <c r="P589">
        <v>4253.84</v>
      </c>
      <c r="Q589" s="6">
        <v>0.15</v>
      </c>
      <c r="R589">
        <v>3615.76</v>
      </c>
      <c r="S589">
        <v>2951.52</v>
      </c>
      <c r="T589">
        <v>664.24</v>
      </c>
      <c r="U589" t="s">
        <v>102</v>
      </c>
      <c r="V589" t="s">
        <v>68</v>
      </c>
      <c r="W589" s="8">
        <f t="shared" si="73"/>
        <v>0.15</v>
      </c>
      <c r="X589">
        <f t="shared" si="74"/>
        <v>3615.7640000000001</v>
      </c>
      <c r="Y589">
        <f t="shared" si="75"/>
        <v>664.24400000000014</v>
      </c>
      <c r="Z589" s="8">
        <f t="shared" si="76"/>
        <v>0.18370778623826114</v>
      </c>
      <c r="AA589" t="str">
        <f t="shared" si="77"/>
        <v>July</v>
      </c>
      <c r="AB589">
        <f t="shared" si="78"/>
        <v>2025</v>
      </c>
      <c r="AC589" t="str">
        <f t="shared" si="79"/>
        <v>Clean</v>
      </c>
    </row>
    <row r="590" spans="1:29">
      <c r="A590" t="s">
        <v>1856</v>
      </c>
      <c r="B590" s="2">
        <v>45727</v>
      </c>
      <c r="C590" s="2">
        <v>45731</v>
      </c>
      <c r="D590" s="3">
        <f t="shared" si="72"/>
        <v>4</v>
      </c>
      <c r="E590" t="s">
        <v>1857</v>
      </c>
      <c r="F590" t="s">
        <v>128</v>
      </c>
      <c r="G590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1858</v>
      </c>
      <c r="N590" t="s">
        <v>31</v>
      </c>
      <c r="O590">
        <v>8</v>
      </c>
      <c r="P590">
        <v>4446.3599999999997</v>
      </c>
      <c r="Q590" s="6">
        <v>0.1</v>
      </c>
      <c r="R590">
        <v>32013.79</v>
      </c>
      <c r="S590">
        <v>20896.88</v>
      </c>
      <c r="T590">
        <v>11116.91</v>
      </c>
      <c r="U590" t="s">
        <v>102</v>
      </c>
      <c r="V590" t="s">
        <v>68</v>
      </c>
      <c r="W590" s="8">
        <f t="shared" si="73"/>
        <v>0.1</v>
      </c>
      <c r="X590">
        <f t="shared" si="74"/>
        <v>32013.791999999998</v>
      </c>
      <c r="Y590">
        <f t="shared" si="75"/>
        <v>11116.911999999997</v>
      </c>
      <c r="Z590" s="8">
        <f t="shared" si="76"/>
        <v>0.34725383359771933</v>
      </c>
      <c r="AA590" t="str">
        <f t="shared" si="77"/>
        <v>March</v>
      </c>
      <c r="AB590">
        <f t="shared" si="78"/>
        <v>2025</v>
      </c>
      <c r="AC590" t="str">
        <f t="shared" si="79"/>
        <v>Clean</v>
      </c>
    </row>
    <row r="591" spans="1:29">
      <c r="A591" t="s">
        <v>1859</v>
      </c>
      <c r="B591" s="2">
        <v>45632</v>
      </c>
      <c r="C591" s="2">
        <v>45638</v>
      </c>
      <c r="D591" s="3">
        <f t="shared" si="72"/>
        <v>6</v>
      </c>
      <c r="E591" t="s">
        <v>1860</v>
      </c>
      <c r="F591" t="s">
        <v>141</v>
      </c>
      <c r="G591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1861</v>
      </c>
      <c r="N591" t="s">
        <v>50</v>
      </c>
      <c r="O591">
        <v>3</v>
      </c>
      <c r="P591">
        <v>524.75</v>
      </c>
      <c r="Q591" s="7">
        <v>0</v>
      </c>
      <c r="R591">
        <v>1574.25</v>
      </c>
      <c r="S591">
        <v>1326.12</v>
      </c>
      <c r="T591">
        <v>248.13</v>
      </c>
      <c r="U591" t="s">
        <v>32</v>
      </c>
      <c r="V591" t="s">
        <v>33</v>
      </c>
      <c r="W591" s="8">
        <f t="shared" si="73"/>
        <v>0</v>
      </c>
      <c r="X591">
        <f t="shared" si="74"/>
        <v>1574.25</v>
      </c>
      <c r="Y591">
        <f t="shared" si="75"/>
        <v>248.13000000000011</v>
      </c>
      <c r="Z591" s="8">
        <f t="shared" si="76"/>
        <v>0.15761791329204389</v>
      </c>
      <c r="AA591" t="str">
        <f t="shared" si="77"/>
        <v>December</v>
      </c>
      <c r="AB591">
        <f t="shared" si="78"/>
        <v>2024</v>
      </c>
      <c r="AC591" t="str">
        <f t="shared" si="79"/>
        <v>Clean</v>
      </c>
    </row>
    <row r="592" spans="1:29">
      <c r="A592" t="s">
        <v>1862</v>
      </c>
      <c r="B592" s="2">
        <v>45441</v>
      </c>
      <c r="C592" s="2">
        <v>45441</v>
      </c>
      <c r="D592" s="3">
        <f t="shared" si="72"/>
        <v>0</v>
      </c>
      <c r="E592" t="s">
        <v>1863</v>
      </c>
      <c r="F592" t="s">
        <v>128</v>
      </c>
      <c r="G592" t="s">
        <v>95</v>
      </c>
      <c r="H592" t="s">
        <v>25</v>
      </c>
      <c r="I592" t="s">
        <v>350</v>
      </c>
      <c r="J592" t="s">
        <v>351</v>
      </c>
      <c r="K592" t="s">
        <v>41</v>
      </c>
      <c r="L592" t="s">
        <v>66</v>
      </c>
      <c r="M592" t="s">
        <v>1864</v>
      </c>
      <c r="N592" t="s">
        <v>44</v>
      </c>
      <c r="O592">
        <v>6</v>
      </c>
      <c r="P592">
        <v>3430.35</v>
      </c>
      <c r="Q592" s="7">
        <v>0</v>
      </c>
      <c r="R592">
        <v>20582.099999999999</v>
      </c>
      <c r="S592">
        <v>15897.65</v>
      </c>
      <c r="T592">
        <v>4684.45</v>
      </c>
      <c r="U592" t="s">
        <v>111</v>
      </c>
      <c r="V592" t="s">
        <v>68</v>
      </c>
      <c r="W592" s="8">
        <f t="shared" si="73"/>
        <v>0</v>
      </c>
      <c r="X592">
        <f t="shared" si="74"/>
        <v>20582.099999999999</v>
      </c>
      <c r="Y592">
        <f t="shared" si="75"/>
        <v>4684.4499999999989</v>
      </c>
      <c r="Z592" s="8">
        <f t="shared" si="76"/>
        <v>0.22759825285077806</v>
      </c>
      <c r="AA592" t="str">
        <f t="shared" si="77"/>
        <v>May</v>
      </c>
      <c r="AB592">
        <f t="shared" si="78"/>
        <v>2024</v>
      </c>
      <c r="AC592" t="str">
        <f t="shared" si="79"/>
        <v>Clean</v>
      </c>
    </row>
    <row r="593" spans="1:29">
      <c r="A593" t="s">
        <v>1865</v>
      </c>
      <c r="B593" s="2">
        <v>45344</v>
      </c>
      <c r="C593" s="2">
        <v>45346</v>
      </c>
      <c r="D593" s="3">
        <f t="shared" si="72"/>
        <v>2</v>
      </c>
      <c r="E593" t="s">
        <v>1866</v>
      </c>
      <c r="F593" t="s">
        <v>132</v>
      </c>
      <c r="G593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1867</v>
      </c>
      <c r="N593" t="s">
        <v>50</v>
      </c>
      <c r="O593">
        <v>3</v>
      </c>
      <c r="P593">
        <v>3545.08</v>
      </c>
      <c r="Q593" s="7">
        <v>0</v>
      </c>
      <c r="R593">
        <v>10635.24</v>
      </c>
      <c r="S593">
        <v>6031.88</v>
      </c>
      <c r="T593">
        <v>4603.3599999999997</v>
      </c>
      <c r="U593" t="s">
        <v>155</v>
      </c>
      <c r="V593" t="s">
        <v>103</v>
      </c>
      <c r="W593" s="8">
        <f t="shared" si="73"/>
        <v>0</v>
      </c>
      <c r="X593">
        <f t="shared" si="74"/>
        <v>10635.24</v>
      </c>
      <c r="Y593">
        <f t="shared" si="75"/>
        <v>4603.3599999999997</v>
      </c>
      <c r="Z593" s="8">
        <f t="shared" si="76"/>
        <v>0.43284025560307055</v>
      </c>
      <c r="AA593" t="str">
        <f t="shared" si="77"/>
        <v>February</v>
      </c>
      <c r="AB593">
        <f t="shared" si="78"/>
        <v>2024</v>
      </c>
      <c r="AC593" t="str">
        <f t="shared" si="79"/>
        <v>Clean</v>
      </c>
    </row>
    <row r="594" spans="1:29">
      <c r="A594" t="s">
        <v>1868</v>
      </c>
      <c r="B594" s="2">
        <v>45385</v>
      </c>
      <c r="C594" s="2">
        <v>45360</v>
      </c>
      <c r="D594" s="5">
        <f t="shared" si="72"/>
        <v>-25</v>
      </c>
      <c r="E594" t="s">
        <v>1869</v>
      </c>
      <c r="F594" t="s">
        <v>36</v>
      </c>
      <c r="G594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1870</v>
      </c>
      <c r="N594" t="s">
        <v>44</v>
      </c>
      <c r="O594">
        <v>8</v>
      </c>
      <c r="P594">
        <v>4401.41</v>
      </c>
      <c r="Q594" s="6">
        <v>0.15</v>
      </c>
      <c r="R594">
        <v>29929.59</v>
      </c>
      <c r="S594">
        <v>22436.03</v>
      </c>
      <c r="T594">
        <v>7493.56</v>
      </c>
      <c r="U594" t="s">
        <v>32</v>
      </c>
      <c r="V594" t="s">
        <v>33</v>
      </c>
      <c r="W594" s="8">
        <f t="shared" si="73"/>
        <v>0.15</v>
      </c>
      <c r="X594">
        <f t="shared" si="74"/>
        <v>29929.588</v>
      </c>
      <c r="Y594">
        <f t="shared" si="75"/>
        <v>7493.5580000000009</v>
      </c>
      <c r="Z594" s="8">
        <f t="shared" si="76"/>
        <v>0.25037290857461858</v>
      </c>
      <c r="AA594" t="str">
        <f t="shared" si="77"/>
        <v>April</v>
      </c>
      <c r="AB594">
        <f t="shared" si="78"/>
        <v>2024</v>
      </c>
      <c r="AC594" t="str">
        <f t="shared" si="79"/>
        <v>Warning</v>
      </c>
    </row>
    <row r="595" spans="1:29">
      <c r="A595" t="s">
        <v>1871</v>
      </c>
      <c r="B595" s="2">
        <v>45927</v>
      </c>
      <c r="C595" s="2">
        <v>45929</v>
      </c>
      <c r="D595" s="3">
        <f t="shared" si="72"/>
        <v>2</v>
      </c>
      <c r="E595" t="s">
        <v>1663</v>
      </c>
      <c r="F595" t="s">
        <v>53</v>
      </c>
      <c r="G59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1872</v>
      </c>
      <c r="N595" t="s">
        <v>31</v>
      </c>
      <c r="O595">
        <v>9</v>
      </c>
      <c r="P595">
        <v>4100.1099999999997</v>
      </c>
      <c r="Q595" s="6">
        <v>0.25</v>
      </c>
      <c r="R595">
        <v>27675.74</v>
      </c>
      <c r="S595">
        <v>15571.08</v>
      </c>
      <c r="T595">
        <v>12104.66</v>
      </c>
      <c r="U595" t="s">
        <v>32</v>
      </c>
      <c r="V595" t="s">
        <v>33</v>
      </c>
      <c r="W595" s="8">
        <f t="shared" si="73"/>
        <v>0.25</v>
      </c>
      <c r="X595">
        <f t="shared" si="74"/>
        <v>27675.7425</v>
      </c>
      <c r="Y595">
        <f t="shared" si="75"/>
        <v>12104.6625</v>
      </c>
      <c r="Z595" s="8">
        <f t="shared" si="76"/>
        <v>0.4373744444254748</v>
      </c>
      <c r="AA595" t="str">
        <f t="shared" si="77"/>
        <v>September</v>
      </c>
      <c r="AB595">
        <f t="shared" si="78"/>
        <v>2025</v>
      </c>
      <c r="AC595" t="str">
        <f t="shared" si="79"/>
        <v>Clean</v>
      </c>
    </row>
    <row r="596" spans="1:29">
      <c r="A596" t="s">
        <v>1873</v>
      </c>
      <c r="B596" s="2">
        <v>45554</v>
      </c>
      <c r="C596" s="2">
        <v>45556</v>
      </c>
      <c r="D596" s="3">
        <f t="shared" si="72"/>
        <v>2</v>
      </c>
      <c r="E596" t="s">
        <v>1874</v>
      </c>
      <c r="F596" t="s">
        <v>23</v>
      </c>
      <c r="G596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1875</v>
      </c>
      <c r="N596" t="s">
        <v>50</v>
      </c>
      <c r="O596">
        <v>3</v>
      </c>
      <c r="P596">
        <v>3981.76</v>
      </c>
      <c r="Q596" s="7">
        <v>0</v>
      </c>
      <c r="R596">
        <v>11945.28</v>
      </c>
      <c r="S596">
        <v>9700.31</v>
      </c>
      <c r="T596">
        <v>2244.9699999999998</v>
      </c>
      <c r="U596" t="s">
        <v>32</v>
      </c>
      <c r="V596" t="s">
        <v>33</v>
      </c>
      <c r="W596" s="8">
        <f t="shared" si="73"/>
        <v>0</v>
      </c>
      <c r="X596">
        <f t="shared" si="74"/>
        <v>11945.28</v>
      </c>
      <c r="Y596">
        <f t="shared" si="75"/>
        <v>2244.9700000000012</v>
      </c>
      <c r="Z596" s="8">
        <f t="shared" si="76"/>
        <v>0.18793782983739193</v>
      </c>
      <c r="AA596" t="str">
        <f t="shared" si="77"/>
        <v>September</v>
      </c>
      <c r="AB596">
        <f t="shared" si="78"/>
        <v>2024</v>
      </c>
      <c r="AC596" t="str">
        <f t="shared" si="79"/>
        <v>Clean</v>
      </c>
    </row>
    <row r="597" spans="1:29">
      <c r="A597" t="s">
        <v>1876</v>
      </c>
      <c r="B597" s="2">
        <v>45699</v>
      </c>
      <c r="C597" s="2">
        <v>45704</v>
      </c>
      <c r="D597" s="3">
        <f t="shared" si="72"/>
        <v>5</v>
      </c>
      <c r="E597" t="s">
        <v>1877</v>
      </c>
      <c r="F597" t="s">
        <v>36</v>
      </c>
      <c r="G597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1878</v>
      </c>
      <c r="N597" t="s">
        <v>50</v>
      </c>
      <c r="O597">
        <v>8</v>
      </c>
      <c r="P597">
        <v>1825.56</v>
      </c>
      <c r="Q597" s="6">
        <v>0.1</v>
      </c>
      <c r="R597">
        <v>13144.03</v>
      </c>
      <c r="S597">
        <v>9764</v>
      </c>
      <c r="T597">
        <v>3380.03</v>
      </c>
      <c r="U597" t="s">
        <v>32</v>
      </c>
      <c r="V597" t="s">
        <v>33</v>
      </c>
      <c r="W597" s="8">
        <f t="shared" si="73"/>
        <v>0.1</v>
      </c>
      <c r="X597">
        <f t="shared" si="74"/>
        <v>13144.031999999999</v>
      </c>
      <c r="Y597">
        <f t="shared" si="75"/>
        <v>3380.0319999999992</v>
      </c>
      <c r="Z597" s="8">
        <f t="shared" si="76"/>
        <v>0.25715336055176974</v>
      </c>
      <c r="AA597" t="str">
        <f t="shared" si="77"/>
        <v>February</v>
      </c>
      <c r="AB597">
        <f t="shared" si="78"/>
        <v>2025</v>
      </c>
      <c r="AC597" t="str">
        <f t="shared" si="79"/>
        <v>Clean</v>
      </c>
    </row>
    <row r="598" spans="1:29">
      <c r="A598" t="s">
        <v>1879</v>
      </c>
      <c r="B598" s="2">
        <v>45392</v>
      </c>
      <c r="C598" s="2">
        <v>45398</v>
      </c>
      <c r="D598" s="3">
        <f t="shared" si="72"/>
        <v>6</v>
      </c>
      <c r="E598" t="s">
        <v>1880</v>
      </c>
      <c r="F598" t="s">
        <v>89</v>
      </c>
      <c r="G598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1881</v>
      </c>
      <c r="N598" t="s">
        <v>31</v>
      </c>
      <c r="O598">
        <v>9</v>
      </c>
      <c r="P598">
        <v>2723.26</v>
      </c>
      <c r="Q598" s="6">
        <v>0.25</v>
      </c>
      <c r="R598">
        <v>18382.009999999998</v>
      </c>
      <c r="S598">
        <v>13108.2</v>
      </c>
      <c r="T598">
        <v>5273.81</v>
      </c>
      <c r="U598" t="s">
        <v>32</v>
      </c>
      <c r="V598" t="s">
        <v>33</v>
      </c>
      <c r="W598" s="8">
        <f t="shared" si="73"/>
        <v>0.25</v>
      </c>
      <c r="X598">
        <f t="shared" si="74"/>
        <v>18382.005000000005</v>
      </c>
      <c r="Y598">
        <f t="shared" si="75"/>
        <v>5273.8050000000039</v>
      </c>
      <c r="Z598" s="8">
        <f t="shared" si="76"/>
        <v>0.28690042245119629</v>
      </c>
      <c r="AA598" t="str">
        <f t="shared" si="77"/>
        <v>April</v>
      </c>
      <c r="AB598">
        <f t="shared" si="78"/>
        <v>2024</v>
      </c>
      <c r="AC598" t="str">
        <f t="shared" si="79"/>
        <v>Clean</v>
      </c>
    </row>
    <row r="599" spans="1:29">
      <c r="A599" t="s">
        <v>1882</v>
      </c>
      <c r="B599" s="2">
        <v>45846</v>
      </c>
      <c r="C599" s="2">
        <v>45846</v>
      </c>
      <c r="D599" s="3">
        <f t="shared" si="72"/>
        <v>0</v>
      </c>
      <c r="E599" t="s">
        <v>1883</v>
      </c>
      <c r="F599" t="s">
        <v>89</v>
      </c>
      <c r="G599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1884</v>
      </c>
      <c r="N599" t="s">
        <v>44</v>
      </c>
      <c r="O599">
        <v>9</v>
      </c>
      <c r="P599">
        <v>274.88</v>
      </c>
      <c r="Q599" s="6">
        <v>0.25</v>
      </c>
      <c r="R599">
        <v>1855.44</v>
      </c>
      <c r="S599">
        <v>1262.74</v>
      </c>
      <c r="T599">
        <v>592.70000000000005</v>
      </c>
      <c r="U599" t="s">
        <v>32</v>
      </c>
      <c r="V599" t="s">
        <v>33</v>
      </c>
      <c r="W599" s="8">
        <f t="shared" si="73"/>
        <v>0.25</v>
      </c>
      <c r="X599">
        <f t="shared" si="74"/>
        <v>1855.44</v>
      </c>
      <c r="Y599">
        <f t="shared" si="75"/>
        <v>592.70000000000005</v>
      </c>
      <c r="Z599" s="8">
        <f t="shared" si="76"/>
        <v>0.3194390548872505</v>
      </c>
      <c r="AA599" t="str">
        <f t="shared" si="77"/>
        <v>July</v>
      </c>
      <c r="AB599">
        <f t="shared" si="78"/>
        <v>2025</v>
      </c>
      <c r="AC599" t="str">
        <f t="shared" si="79"/>
        <v>Clean</v>
      </c>
    </row>
    <row r="600" spans="1:29">
      <c r="A600" t="s">
        <v>1885</v>
      </c>
      <c r="B600" s="2">
        <v>45521</v>
      </c>
      <c r="C600" s="2">
        <v>45528</v>
      </c>
      <c r="D600" s="3">
        <f t="shared" si="72"/>
        <v>7</v>
      </c>
      <c r="E600" t="s">
        <v>1886</v>
      </c>
      <c r="F600" t="s">
        <v>62</v>
      </c>
      <c r="G600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1887</v>
      </c>
      <c r="N600" t="s">
        <v>44</v>
      </c>
      <c r="O600">
        <v>3</v>
      </c>
      <c r="P600">
        <v>1490.69</v>
      </c>
      <c r="Q600" s="6">
        <v>0.25</v>
      </c>
      <c r="R600">
        <v>3354.05</v>
      </c>
      <c r="S600">
        <v>2672.67</v>
      </c>
      <c r="T600">
        <v>681.38</v>
      </c>
      <c r="U600" t="s">
        <v>32</v>
      </c>
      <c r="V600" t="s">
        <v>33</v>
      </c>
      <c r="W600" s="8">
        <f t="shared" si="73"/>
        <v>0.25</v>
      </c>
      <c r="X600">
        <f t="shared" si="74"/>
        <v>3354.0524999999998</v>
      </c>
      <c r="Y600">
        <f t="shared" si="75"/>
        <v>681.38249999999971</v>
      </c>
      <c r="Z600" s="8">
        <f t="shared" si="76"/>
        <v>0.20315200790685289</v>
      </c>
      <c r="AA600" t="str">
        <f t="shared" si="77"/>
        <v>August</v>
      </c>
      <c r="AB600">
        <f t="shared" si="78"/>
        <v>2024</v>
      </c>
      <c r="AC600" t="str">
        <f t="shared" si="79"/>
        <v>Clean</v>
      </c>
    </row>
    <row r="601" spans="1:29">
      <c r="A601" t="s">
        <v>1888</v>
      </c>
      <c r="B601" s="2">
        <v>45523</v>
      </c>
      <c r="C601" s="2">
        <v>45525</v>
      </c>
      <c r="D601" s="3">
        <f t="shared" si="72"/>
        <v>2</v>
      </c>
      <c r="E601" t="s">
        <v>1889</v>
      </c>
      <c r="F601" t="s">
        <v>53</v>
      </c>
      <c r="G601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1890</v>
      </c>
      <c r="N601" t="s">
        <v>50</v>
      </c>
      <c r="O601">
        <v>3</v>
      </c>
      <c r="P601">
        <v>1103.54</v>
      </c>
      <c r="Q601" s="6">
        <v>0.25</v>
      </c>
      <c r="R601">
        <v>2482.9699999999998</v>
      </c>
      <c r="S601">
        <v>1621.72</v>
      </c>
      <c r="T601">
        <v>861.25</v>
      </c>
      <c r="U601" t="s">
        <v>32</v>
      </c>
      <c r="V601" t="s">
        <v>33</v>
      </c>
      <c r="W601" s="8">
        <f t="shared" si="73"/>
        <v>0.25</v>
      </c>
      <c r="X601">
        <f t="shared" si="74"/>
        <v>2482.9650000000001</v>
      </c>
      <c r="Y601">
        <f t="shared" si="75"/>
        <v>861.24500000000012</v>
      </c>
      <c r="Z601" s="8">
        <f t="shared" si="76"/>
        <v>0.34686151435884116</v>
      </c>
      <c r="AA601" t="str">
        <f t="shared" si="77"/>
        <v>August</v>
      </c>
      <c r="AB601">
        <f t="shared" si="78"/>
        <v>2024</v>
      </c>
      <c r="AC601" t="str">
        <f t="shared" si="79"/>
        <v>Clean</v>
      </c>
    </row>
    <row r="602" spans="1:29">
      <c r="A602" t="s">
        <v>1891</v>
      </c>
      <c r="B602" s="2">
        <v>45780</v>
      </c>
      <c r="C602" s="2">
        <v>45728</v>
      </c>
      <c r="D602" s="5">
        <f t="shared" si="72"/>
        <v>-52</v>
      </c>
      <c r="E602" t="s">
        <v>1892</v>
      </c>
      <c r="F602" t="s">
        <v>62</v>
      </c>
      <c r="G602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1893</v>
      </c>
      <c r="N602" t="s">
        <v>44</v>
      </c>
      <c r="O602">
        <v>3</v>
      </c>
      <c r="P602">
        <v>3682.75</v>
      </c>
      <c r="Q602" s="7">
        <v>0</v>
      </c>
      <c r="R602">
        <v>11048.25</v>
      </c>
      <c r="S602">
        <v>9062.7199999999993</v>
      </c>
      <c r="T602">
        <v>1985.53</v>
      </c>
      <c r="U602" t="s">
        <v>32</v>
      </c>
      <c r="V602" t="s">
        <v>33</v>
      </c>
      <c r="W602" s="8">
        <f t="shared" si="73"/>
        <v>0</v>
      </c>
      <c r="X602">
        <f t="shared" si="74"/>
        <v>11048.25</v>
      </c>
      <c r="Y602">
        <f t="shared" si="75"/>
        <v>1985.5300000000007</v>
      </c>
      <c r="Z602" s="8">
        <f t="shared" si="76"/>
        <v>0.17971443441268986</v>
      </c>
      <c r="AA602" t="str">
        <f t="shared" si="77"/>
        <v>May</v>
      </c>
      <c r="AB602">
        <f t="shared" si="78"/>
        <v>2025</v>
      </c>
      <c r="AC602" t="str">
        <f t="shared" si="79"/>
        <v>Warning</v>
      </c>
    </row>
    <row r="603" spans="1:29">
      <c r="A603" t="s">
        <v>1894</v>
      </c>
      <c r="B603" s="2">
        <v>45317</v>
      </c>
      <c r="C603" s="2">
        <v>45322</v>
      </c>
      <c r="D603" s="3">
        <f t="shared" si="72"/>
        <v>5</v>
      </c>
      <c r="E603" t="s">
        <v>1895</v>
      </c>
      <c r="F603" t="s">
        <v>62</v>
      </c>
      <c r="G603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1896</v>
      </c>
      <c r="N603" t="s">
        <v>31</v>
      </c>
      <c r="O603">
        <v>5</v>
      </c>
      <c r="P603">
        <v>1615.03</v>
      </c>
      <c r="Q603" s="6">
        <v>0.2</v>
      </c>
      <c r="R603">
        <v>6460.12</v>
      </c>
      <c r="S603">
        <v>3604.03</v>
      </c>
      <c r="T603">
        <v>2856.09</v>
      </c>
      <c r="U603" t="s">
        <v>32</v>
      </c>
      <c r="V603" t="s">
        <v>33</v>
      </c>
      <c r="W603" s="8">
        <f t="shared" si="73"/>
        <v>0.2</v>
      </c>
      <c r="X603">
        <f t="shared" si="74"/>
        <v>6460.12</v>
      </c>
      <c r="Y603">
        <f t="shared" si="75"/>
        <v>2856.0899999999997</v>
      </c>
      <c r="Z603" s="8">
        <f t="shared" si="76"/>
        <v>0.44211098245853014</v>
      </c>
      <c r="AA603" t="str">
        <f t="shared" si="77"/>
        <v>January</v>
      </c>
      <c r="AB603">
        <f t="shared" si="78"/>
        <v>2024</v>
      </c>
      <c r="AC603" t="str">
        <f t="shared" si="79"/>
        <v>Clean</v>
      </c>
    </row>
    <row r="604" spans="1:29">
      <c r="A604" t="s">
        <v>1897</v>
      </c>
      <c r="B604" s="2">
        <v>45588</v>
      </c>
      <c r="C604" s="2">
        <v>45595</v>
      </c>
      <c r="D604" s="3">
        <f t="shared" si="72"/>
        <v>7</v>
      </c>
      <c r="E604" t="s">
        <v>1898</v>
      </c>
      <c r="F604" t="s">
        <v>128</v>
      </c>
      <c r="G604" t="s">
        <v>24</v>
      </c>
      <c r="H604" t="s">
        <v>38</v>
      </c>
      <c r="I604" t="s">
        <v>228</v>
      </c>
      <c r="J604" t="s">
        <v>229</v>
      </c>
      <c r="K604" t="s">
        <v>74</v>
      </c>
      <c r="L604" t="s">
        <v>80</v>
      </c>
      <c r="M604" t="s">
        <v>1899</v>
      </c>
      <c r="N604" t="s">
        <v>31</v>
      </c>
      <c r="O604">
        <v>9</v>
      </c>
      <c r="P604">
        <v>3423.82</v>
      </c>
      <c r="Q604" s="6">
        <v>0.15</v>
      </c>
      <c r="R604">
        <v>26192.22</v>
      </c>
      <c r="S604">
        <v>20795.55</v>
      </c>
      <c r="T604">
        <v>5396.67</v>
      </c>
      <c r="U604" t="s">
        <v>32</v>
      </c>
      <c r="V604" t="s">
        <v>33</v>
      </c>
      <c r="W604" s="8">
        <f t="shared" si="73"/>
        <v>0.15</v>
      </c>
      <c r="X604">
        <f t="shared" si="74"/>
        <v>26192.223000000002</v>
      </c>
      <c r="Y604">
        <f t="shared" si="75"/>
        <v>5396.6730000000025</v>
      </c>
      <c r="Z604" s="8">
        <f t="shared" si="76"/>
        <v>0.20604104508426041</v>
      </c>
      <c r="AA604" t="str">
        <f t="shared" si="77"/>
        <v>October</v>
      </c>
      <c r="AB604">
        <f t="shared" si="78"/>
        <v>2024</v>
      </c>
      <c r="AC604" t="str">
        <f t="shared" si="79"/>
        <v>Clean</v>
      </c>
    </row>
    <row r="605" spans="1:29">
      <c r="A605" t="s">
        <v>1900</v>
      </c>
      <c r="B605" s="2">
        <v>45660</v>
      </c>
      <c r="C605" s="2">
        <v>45962</v>
      </c>
      <c r="D605" s="3">
        <f t="shared" si="72"/>
        <v>302</v>
      </c>
      <c r="E605" t="s">
        <v>334</v>
      </c>
      <c r="F605" t="s">
        <v>71</v>
      </c>
      <c r="G60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1901</v>
      </c>
      <c r="N605" t="s">
        <v>50</v>
      </c>
      <c r="O605">
        <v>8</v>
      </c>
      <c r="P605">
        <v>2574.29</v>
      </c>
      <c r="Q605" s="6">
        <v>0.05</v>
      </c>
      <c r="R605">
        <v>19564.599999999999</v>
      </c>
      <c r="S605">
        <v>11154.59</v>
      </c>
      <c r="T605">
        <v>8410.01</v>
      </c>
      <c r="U605" t="s">
        <v>111</v>
      </c>
      <c r="V605" t="s">
        <v>68</v>
      </c>
      <c r="W605" s="8">
        <f t="shared" si="73"/>
        <v>0.05</v>
      </c>
      <c r="X605">
        <f t="shared" si="74"/>
        <v>19564.603999999999</v>
      </c>
      <c r="Y605">
        <f t="shared" si="75"/>
        <v>8410.0139999999992</v>
      </c>
      <c r="Z605" s="8">
        <f t="shared" si="76"/>
        <v>0.42985863654587642</v>
      </c>
      <c r="AA605" t="str">
        <f t="shared" si="77"/>
        <v>January</v>
      </c>
      <c r="AB605">
        <f t="shared" si="78"/>
        <v>2025</v>
      </c>
      <c r="AC605" t="str">
        <f t="shared" si="79"/>
        <v>Clean</v>
      </c>
    </row>
    <row r="606" spans="1:29">
      <c r="A606" t="s">
        <v>1902</v>
      </c>
      <c r="B606" s="2">
        <v>45779</v>
      </c>
      <c r="C606" s="2">
        <v>45694</v>
      </c>
      <c r="D606" s="5">
        <f t="shared" si="72"/>
        <v>-85</v>
      </c>
      <c r="E606" t="s">
        <v>1903</v>
      </c>
      <c r="F606" t="s">
        <v>62</v>
      </c>
      <c r="G606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1904</v>
      </c>
      <c r="N606" t="s">
        <v>44</v>
      </c>
      <c r="O606">
        <v>3</v>
      </c>
      <c r="P606">
        <v>1076.3</v>
      </c>
      <c r="Q606" s="7">
        <v>0</v>
      </c>
      <c r="R606">
        <v>3228.9</v>
      </c>
      <c r="S606">
        <v>1853.23</v>
      </c>
      <c r="T606">
        <v>1375.67</v>
      </c>
      <c r="U606" t="s">
        <v>32</v>
      </c>
      <c r="V606" t="s">
        <v>33</v>
      </c>
      <c r="W606" s="8">
        <f t="shared" si="73"/>
        <v>0</v>
      </c>
      <c r="X606">
        <f t="shared" si="74"/>
        <v>3228.8999999999996</v>
      </c>
      <c r="Y606">
        <f t="shared" si="75"/>
        <v>1375.6699999999996</v>
      </c>
      <c r="Z606" s="8">
        <f t="shared" si="76"/>
        <v>0.42604911889497965</v>
      </c>
      <c r="AA606" t="str">
        <f t="shared" si="77"/>
        <v>May</v>
      </c>
      <c r="AB606">
        <f t="shared" si="78"/>
        <v>2025</v>
      </c>
      <c r="AC606" t="str">
        <f t="shared" si="79"/>
        <v>Warning</v>
      </c>
    </row>
    <row r="607" spans="1:29">
      <c r="A607" t="s">
        <v>1905</v>
      </c>
      <c r="B607" s="2">
        <v>45847</v>
      </c>
      <c r="C607" s="2">
        <v>45851</v>
      </c>
      <c r="D607" s="3">
        <f t="shared" si="72"/>
        <v>4</v>
      </c>
      <c r="E607" t="s">
        <v>1906</v>
      </c>
      <c r="F607" t="s">
        <v>264</v>
      </c>
      <c r="G607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1907</v>
      </c>
      <c r="N607" t="s">
        <v>31</v>
      </c>
      <c r="O607">
        <v>5</v>
      </c>
      <c r="P607">
        <v>1680.01</v>
      </c>
      <c r="Q607" s="6">
        <v>0.85</v>
      </c>
      <c r="R607">
        <v>7560.04</v>
      </c>
      <c r="S607">
        <v>6448.05</v>
      </c>
      <c r="T607">
        <v>1111.99</v>
      </c>
      <c r="U607" t="s">
        <v>32</v>
      </c>
      <c r="V607" t="s">
        <v>68</v>
      </c>
      <c r="W607" s="8">
        <f t="shared" si="73"/>
        <v>0.85</v>
      </c>
      <c r="X607">
        <f t="shared" si="74"/>
        <v>1260.0075000000002</v>
      </c>
      <c r="Y607">
        <f t="shared" si="75"/>
        <v>-5188.0424999999996</v>
      </c>
      <c r="Z607" s="8">
        <f t="shared" si="76"/>
        <v>-4.1174695388717915</v>
      </c>
      <c r="AA607" t="str">
        <f t="shared" si="77"/>
        <v>July</v>
      </c>
      <c r="AB607">
        <f t="shared" si="78"/>
        <v>2025</v>
      </c>
      <c r="AC607" t="str">
        <f t="shared" si="79"/>
        <v>Clean</v>
      </c>
    </row>
    <row r="608" spans="1:29">
      <c r="A608" t="s">
        <v>1908</v>
      </c>
      <c r="B608" s="2">
        <v>45710</v>
      </c>
      <c r="C608" s="2">
        <v>45716</v>
      </c>
      <c r="D608" s="3">
        <f t="shared" si="72"/>
        <v>6</v>
      </c>
      <c r="E608" t="s">
        <v>1909</v>
      </c>
      <c r="F608" t="s">
        <v>118</v>
      </c>
      <c r="G608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1910</v>
      </c>
      <c r="N608" t="s">
        <v>44</v>
      </c>
      <c r="O608">
        <v>3</v>
      </c>
      <c r="P608">
        <v>3890.81</v>
      </c>
      <c r="Q608" s="6">
        <v>0.25</v>
      </c>
      <c r="R608">
        <v>8754.32</v>
      </c>
      <c r="S608">
        <v>6238.9</v>
      </c>
      <c r="T608">
        <v>2515.42</v>
      </c>
      <c r="U608" t="s">
        <v>32</v>
      </c>
      <c r="V608" t="s">
        <v>33</v>
      </c>
      <c r="W608" s="8">
        <f t="shared" si="73"/>
        <v>0.25</v>
      </c>
      <c r="X608">
        <f t="shared" si="74"/>
        <v>8754.3225000000002</v>
      </c>
      <c r="Y608">
        <f t="shared" si="75"/>
        <v>2515.4225000000006</v>
      </c>
      <c r="Z608" s="8">
        <f t="shared" si="76"/>
        <v>0.28733491369549163</v>
      </c>
      <c r="AA608" t="str">
        <f t="shared" si="77"/>
        <v>February</v>
      </c>
      <c r="AB608">
        <f t="shared" si="78"/>
        <v>2025</v>
      </c>
      <c r="AC608" t="str">
        <f t="shared" si="79"/>
        <v>Clean</v>
      </c>
    </row>
    <row r="609" spans="1:29">
      <c r="A609" t="s">
        <v>1911</v>
      </c>
      <c r="B609" s="2">
        <v>45704</v>
      </c>
      <c r="C609" s="2">
        <v>45710</v>
      </c>
      <c r="D609" s="3">
        <f t="shared" si="72"/>
        <v>6</v>
      </c>
      <c r="E609" t="s">
        <v>1912</v>
      </c>
      <c r="F609" t="s">
        <v>132</v>
      </c>
      <c r="G609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1913</v>
      </c>
      <c r="N609" t="s">
        <v>44</v>
      </c>
      <c r="O609">
        <v>5</v>
      </c>
      <c r="P609">
        <v>954.67</v>
      </c>
      <c r="Q609" s="6">
        <v>0.15</v>
      </c>
      <c r="R609">
        <v>4057.35</v>
      </c>
      <c r="S609">
        <v>2862.03</v>
      </c>
      <c r="T609">
        <v>1195.32</v>
      </c>
      <c r="U609" t="s">
        <v>32</v>
      </c>
      <c r="V609" t="s">
        <v>33</v>
      </c>
      <c r="W609" s="8">
        <f t="shared" si="73"/>
        <v>0.15</v>
      </c>
      <c r="X609">
        <f t="shared" si="74"/>
        <v>4057.3474999999994</v>
      </c>
      <c r="Y609">
        <f t="shared" si="75"/>
        <v>1195.3174999999992</v>
      </c>
      <c r="Z609" s="8">
        <f t="shared" si="76"/>
        <v>0.29460565061286947</v>
      </c>
      <c r="AA609" t="str">
        <f t="shared" si="77"/>
        <v>February</v>
      </c>
      <c r="AB609">
        <f t="shared" si="78"/>
        <v>2025</v>
      </c>
      <c r="AC609" t="str">
        <f t="shared" si="79"/>
        <v>Clean</v>
      </c>
    </row>
    <row r="610" spans="1:29">
      <c r="A610" t="s">
        <v>1914</v>
      </c>
      <c r="B610" s="2">
        <v>45464</v>
      </c>
      <c r="C610" s="2">
        <v>45466</v>
      </c>
      <c r="D610" s="3">
        <f t="shared" si="72"/>
        <v>2</v>
      </c>
      <c r="E610" t="s">
        <v>1692</v>
      </c>
      <c r="F610" t="s">
        <v>23</v>
      </c>
      <c r="G610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1915</v>
      </c>
      <c r="N610" t="s">
        <v>31</v>
      </c>
      <c r="O610">
        <v>9</v>
      </c>
      <c r="P610">
        <v>2153.75</v>
      </c>
      <c r="Q610" s="7">
        <v>0</v>
      </c>
      <c r="R610">
        <v>19383.75</v>
      </c>
      <c r="S610">
        <v>11667.43</v>
      </c>
      <c r="T610">
        <v>7716.32</v>
      </c>
      <c r="U610" t="s">
        <v>32</v>
      </c>
      <c r="V610" t="s">
        <v>33</v>
      </c>
      <c r="W610" s="8">
        <f t="shared" si="73"/>
        <v>0</v>
      </c>
      <c r="X610">
        <f t="shared" si="74"/>
        <v>19383.75</v>
      </c>
      <c r="Y610">
        <f t="shared" si="75"/>
        <v>7716.32</v>
      </c>
      <c r="Z610" s="8">
        <f t="shared" si="76"/>
        <v>0.39808189849745274</v>
      </c>
      <c r="AA610" t="str">
        <f t="shared" si="77"/>
        <v>June</v>
      </c>
      <c r="AB610">
        <f t="shared" si="78"/>
        <v>2024</v>
      </c>
      <c r="AC610" t="str">
        <f t="shared" si="79"/>
        <v>Clean</v>
      </c>
    </row>
    <row r="611" spans="1:29">
      <c r="A611" t="s">
        <v>1916</v>
      </c>
      <c r="B611" s="2">
        <v>45665</v>
      </c>
      <c r="C611" s="2">
        <v>45992</v>
      </c>
      <c r="D611" s="3">
        <f t="shared" si="72"/>
        <v>327</v>
      </c>
      <c r="E611" t="s">
        <v>1917</v>
      </c>
      <c r="F611" t="s">
        <v>132</v>
      </c>
      <c r="G611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1918</v>
      </c>
      <c r="N611" t="s">
        <v>59</v>
      </c>
      <c r="O611">
        <v>7</v>
      </c>
      <c r="P611">
        <v>4337.4799999999996</v>
      </c>
      <c r="Q611" s="7">
        <v>0</v>
      </c>
      <c r="R611">
        <v>30362.36</v>
      </c>
      <c r="S611">
        <v>25065.4</v>
      </c>
      <c r="T611">
        <v>5296.96</v>
      </c>
      <c r="U611" t="s">
        <v>32</v>
      </c>
      <c r="V611" t="s">
        <v>33</v>
      </c>
      <c r="W611" s="8">
        <f t="shared" si="73"/>
        <v>0</v>
      </c>
      <c r="X611">
        <f t="shared" si="74"/>
        <v>30362.359999999997</v>
      </c>
      <c r="Y611">
        <f t="shared" si="75"/>
        <v>5296.9599999999955</v>
      </c>
      <c r="Z611" s="8">
        <f t="shared" si="76"/>
        <v>0.17445811195177174</v>
      </c>
      <c r="AA611" t="str">
        <f t="shared" si="77"/>
        <v>January</v>
      </c>
      <c r="AB611">
        <f t="shared" si="78"/>
        <v>2025</v>
      </c>
      <c r="AC611" t="str">
        <f t="shared" si="79"/>
        <v>Clean</v>
      </c>
    </row>
    <row r="612" spans="1:29">
      <c r="A612" t="s">
        <v>1919</v>
      </c>
      <c r="B612" s="2">
        <v>45432</v>
      </c>
      <c r="C612" s="2">
        <v>45432</v>
      </c>
      <c r="D612" s="3">
        <f t="shared" si="72"/>
        <v>0</v>
      </c>
      <c r="E612" t="s">
        <v>1364</v>
      </c>
      <c r="F612" t="s">
        <v>23</v>
      </c>
      <c r="G612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1920</v>
      </c>
      <c r="N612" t="s">
        <v>59</v>
      </c>
      <c r="O612">
        <v>1</v>
      </c>
      <c r="P612">
        <v>3032.95</v>
      </c>
      <c r="Q612" s="6">
        <v>0.1</v>
      </c>
      <c r="R612">
        <v>2729.65</v>
      </c>
      <c r="S612">
        <v>1715.36</v>
      </c>
      <c r="T612">
        <v>1014.29</v>
      </c>
      <c r="U612" t="s">
        <v>32</v>
      </c>
      <c r="V612" t="s">
        <v>33</v>
      </c>
      <c r="W612" s="8">
        <f t="shared" si="73"/>
        <v>0.1</v>
      </c>
      <c r="X612">
        <f t="shared" si="74"/>
        <v>2729.6549999999997</v>
      </c>
      <c r="Y612">
        <f t="shared" si="75"/>
        <v>1014.2949999999998</v>
      </c>
      <c r="Z612" s="8">
        <f t="shared" si="76"/>
        <v>0.37158358840219735</v>
      </c>
      <c r="AA612" t="str">
        <f t="shared" si="77"/>
        <v>May</v>
      </c>
      <c r="AB612">
        <f t="shared" si="78"/>
        <v>2024</v>
      </c>
      <c r="AC612" t="str">
        <f t="shared" si="79"/>
        <v>Clean</v>
      </c>
    </row>
    <row r="613" spans="1:29">
      <c r="A613" t="s">
        <v>1921</v>
      </c>
      <c r="B613" s="2">
        <v>45876</v>
      </c>
      <c r="C613" s="2">
        <v>45853</v>
      </c>
      <c r="D613" s="5">
        <f t="shared" si="72"/>
        <v>-23</v>
      </c>
      <c r="E613" t="s">
        <v>1922</v>
      </c>
      <c r="F613" t="s">
        <v>62</v>
      </c>
      <c r="G613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1923</v>
      </c>
      <c r="N613" t="s">
        <v>44</v>
      </c>
      <c r="O613">
        <v>8</v>
      </c>
      <c r="P613">
        <v>655.28</v>
      </c>
      <c r="Q613" s="6">
        <v>0.1</v>
      </c>
      <c r="R613">
        <v>4718.0200000000004</v>
      </c>
      <c r="S613">
        <v>3908.23</v>
      </c>
      <c r="T613">
        <v>809.79</v>
      </c>
      <c r="U613" t="s">
        <v>32</v>
      </c>
      <c r="V613" t="s">
        <v>33</v>
      </c>
      <c r="W613" s="8">
        <f t="shared" si="73"/>
        <v>0.1</v>
      </c>
      <c r="X613">
        <f t="shared" si="74"/>
        <v>4718.0159999999996</v>
      </c>
      <c r="Y613">
        <f t="shared" si="75"/>
        <v>809.7859999999996</v>
      </c>
      <c r="Z613" s="8">
        <f t="shared" si="76"/>
        <v>0.17163697622051297</v>
      </c>
      <c r="AA613" t="str">
        <f t="shared" si="77"/>
        <v>August</v>
      </c>
      <c r="AB613">
        <f t="shared" si="78"/>
        <v>2025</v>
      </c>
      <c r="AC613" t="str">
        <f t="shared" si="79"/>
        <v>Warning</v>
      </c>
    </row>
    <row r="614" spans="1:29">
      <c r="A614" t="s">
        <v>1924</v>
      </c>
      <c r="B614" s="2">
        <v>45753</v>
      </c>
      <c r="C614" s="2">
        <v>45760</v>
      </c>
      <c r="D614" s="3">
        <f t="shared" si="72"/>
        <v>7</v>
      </c>
      <c r="E614" t="s">
        <v>1925</v>
      </c>
      <c r="F614" t="s">
        <v>89</v>
      </c>
      <c r="G614" t="s">
        <v>24</v>
      </c>
      <c r="H614" s="4" t="s">
        <v>2760</v>
      </c>
      <c r="I614" t="s">
        <v>39</v>
      </c>
      <c r="J614" t="s">
        <v>40</v>
      </c>
      <c r="K614" t="s">
        <v>74</v>
      </c>
      <c r="L614" t="s">
        <v>171</v>
      </c>
      <c r="M614" t="s">
        <v>1926</v>
      </c>
      <c r="N614" t="s">
        <v>59</v>
      </c>
      <c r="O614">
        <v>1</v>
      </c>
      <c r="P614">
        <v>3844.01</v>
      </c>
      <c r="Q614" s="7">
        <v>0</v>
      </c>
      <c r="R614">
        <v>3844.01</v>
      </c>
      <c r="S614">
        <v>2195.79</v>
      </c>
      <c r="T614">
        <v>1648.22</v>
      </c>
      <c r="U614" t="s">
        <v>32</v>
      </c>
      <c r="V614" t="s">
        <v>33</v>
      </c>
      <c r="W614" s="8">
        <f t="shared" si="73"/>
        <v>0</v>
      </c>
      <c r="X614">
        <f t="shared" si="74"/>
        <v>3844.01</v>
      </c>
      <c r="Y614">
        <f t="shared" si="75"/>
        <v>1648.2200000000003</v>
      </c>
      <c r="Z614" s="8">
        <f t="shared" si="76"/>
        <v>0.42877619985379856</v>
      </c>
      <c r="AA614" t="str">
        <f t="shared" si="77"/>
        <v>April</v>
      </c>
      <c r="AB614">
        <f t="shared" si="78"/>
        <v>2025</v>
      </c>
      <c r="AC614" t="str">
        <f t="shared" si="79"/>
        <v>Clean</v>
      </c>
    </row>
    <row r="615" spans="1:29">
      <c r="A615" t="s">
        <v>1927</v>
      </c>
      <c r="B615" s="2">
        <v>45570</v>
      </c>
      <c r="C615" s="2">
        <v>45575</v>
      </c>
      <c r="D615" s="3">
        <f t="shared" si="72"/>
        <v>5</v>
      </c>
      <c r="E615" t="s">
        <v>1928</v>
      </c>
      <c r="F615" t="s">
        <v>162</v>
      </c>
      <c r="G61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274</v>
      </c>
      <c r="M615" t="s">
        <v>1929</v>
      </c>
      <c r="N615" t="s">
        <v>44</v>
      </c>
      <c r="O615">
        <v>9</v>
      </c>
      <c r="P615">
        <v>3361.3</v>
      </c>
      <c r="Q615" s="6">
        <v>0.25</v>
      </c>
      <c r="R615">
        <v>22688.78</v>
      </c>
      <c r="S615">
        <v>14672.41</v>
      </c>
      <c r="T615">
        <v>8016.37</v>
      </c>
      <c r="U615" t="s">
        <v>32</v>
      </c>
      <c r="V615" t="s">
        <v>33</v>
      </c>
      <c r="W615" s="8">
        <f t="shared" si="73"/>
        <v>0.25</v>
      </c>
      <c r="X615">
        <f t="shared" si="74"/>
        <v>22688.775000000001</v>
      </c>
      <c r="Y615">
        <f t="shared" si="75"/>
        <v>8016.3650000000016</v>
      </c>
      <c r="Z615" s="8">
        <f t="shared" si="76"/>
        <v>0.35331854628555315</v>
      </c>
      <c r="AA615" t="str">
        <f t="shared" si="77"/>
        <v>October</v>
      </c>
      <c r="AB615">
        <f t="shared" si="78"/>
        <v>2024</v>
      </c>
      <c r="AC615" t="str">
        <f t="shared" si="79"/>
        <v>Clean</v>
      </c>
    </row>
    <row r="616" spans="1:29">
      <c r="A616" t="s">
        <v>1930</v>
      </c>
      <c r="B616" s="2">
        <v>45598</v>
      </c>
      <c r="C616" s="2">
        <v>45341</v>
      </c>
      <c r="D616" s="5">
        <f t="shared" si="72"/>
        <v>-257</v>
      </c>
      <c r="E616" t="s">
        <v>1931</v>
      </c>
      <c r="F616" t="s">
        <v>62</v>
      </c>
      <c r="G616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1932</v>
      </c>
      <c r="N616" t="s">
        <v>59</v>
      </c>
      <c r="O616">
        <v>8</v>
      </c>
      <c r="P616">
        <v>3398.32</v>
      </c>
      <c r="Q616" s="6">
        <v>0.25</v>
      </c>
      <c r="R616">
        <v>20389.919999999998</v>
      </c>
      <c r="S616">
        <v>16661.080000000002</v>
      </c>
      <c r="T616">
        <v>3728.84</v>
      </c>
      <c r="U616" t="s">
        <v>102</v>
      </c>
      <c r="V616" t="s">
        <v>68</v>
      </c>
      <c r="W616" s="8">
        <f t="shared" si="73"/>
        <v>0.25</v>
      </c>
      <c r="X616">
        <f t="shared" si="74"/>
        <v>20389.920000000002</v>
      </c>
      <c r="Y616">
        <f t="shared" si="75"/>
        <v>3728.84</v>
      </c>
      <c r="Z616" s="8">
        <f t="shared" si="76"/>
        <v>0.18287663708342161</v>
      </c>
      <c r="AA616" t="str">
        <f t="shared" si="77"/>
        <v>November</v>
      </c>
      <c r="AB616">
        <f t="shared" si="78"/>
        <v>2024</v>
      </c>
      <c r="AC616" t="str">
        <f t="shared" si="79"/>
        <v>Warning</v>
      </c>
    </row>
    <row r="617" spans="1:29">
      <c r="A617" t="s">
        <v>1933</v>
      </c>
      <c r="B617" s="2">
        <v>45569</v>
      </c>
      <c r="C617" s="2">
        <v>45572</v>
      </c>
      <c r="D617" s="3">
        <f t="shared" si="72"/>
        <v>3</v>
      </c>
      <c r="E617" t="s">
        <v>1934</v>
      </c>
      <c r="F617" t="s">
        <v>118</v>
      </c>
      <c r="G617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1935</v>
      </c>
      <c r="N617" t="s">
        <v>31</v>
      </c>
      <c r="O617">
        <v>2</v>
      </c>
      <c r="P617">
        <v>3144.38</v>
      </c>
      <c r="Q617" s="6">
        <v>0.1</v>
      </c>
      <c r="R617">
        <v>5904.57</v>
      </c>
      <c r="S617">
        <v>4337.79</v>
      </c>
      <c r="T617">
        <v>1322.09</v>
      </c>
      <c r="U617" t="s">
        <v>32</v>
      </c>
      <c r="V617" t="s">
        <v>33</v>
      </c>
      <c r="W617" s="8">
        <f t="shared" si="73"/>
        <v>0.1</v>
      </c>
      <c r="X617">
        <f t="shared" si="74"/>
        <v>5659.884</v>
      </c>
      <c r="Y617">
        <f t="shared" si="75"/>
        <v>1322.0940000000001</v>
      </c>
      <c r="Z617" s="8">
        <f t="shared" si="76"/>
        <v>0.23359029973052453</v>
      </c>
      <c r="AA617" t="str">
        <f t="shared" si="77"/>
        <v>October</v>
      </c>
      <c r="AB617">
        <f t="shared" si="78"/>
        <v>2024</v>
      </c>
      <c r="AC617" t="str">
        <f t="shared" si="79"/>
        <v>Clean</v>
      </c>
    </row>
    <row r="618" spans="1:29">
      <c r="A618" t="s">
        <v>1936</v>
      </c>
      <c r="B618" s="2">
        <v>45520</v>
      </c>
      <c r="C618" s="2">
        <v>45523</v>
      </c>
      <c r="D618" s="3">
        <f t="shared" si="72"/>
        <v>3</v>
      </c>
      <c r="E618" t="s">
        <v>1937</v>
      </c>
      <c r="F618" t="s">
        <v>264</v>
      </c>
      <c r="G618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1938</v>
      </c>
      <c r="N618" t="s">
        <v>59</v>
      </c>
      <c r="O618">
        <v>6</v>
      </c>
      <c r="P618">
        <v>3925.55</v>
      </c>
      <c r="Q618" s="6">
        <v>0.2</v>
      </c>
      <c r="R618">
        <v>18842.64</v>
      </c>
      <c r="S618">
        <v>11840.58</v>
      </c>
      <c r="T618">
        <v>7002.06</v>
      </c>
      <c r="U618" t="s">
        <v>32</v>
      </c>
      <c r="V618" t="s">
        <v>33</v>
      </c>
      <c r="W618" s="8">
        <f t="shared" si="73"/>
        <v>0.2</v>
      </c>
      <c r="X618">
        <f t="shared" si="74"/>
        <v>18842.640000000003</v>
      </c>
      <c r="Y618">
        <f t="shared" si="75"/>
        <v>7002.0600000000031</v>
      </c>
      <c r="Z618" s="8">
        <f t="shared" si="76"/>
        <v>0.37160716332743193</v>
      </c>
      <c r="AA618" t="str">
        <f t="shared" si="77"/>
        <v>August</v>
      </c>
      <c r="AB618">
        <f t="shared" si="78"/>
        <v>2024</v>
      </c>
      <c r="AC618" t="str">
        <f t="shared" si="79"/>
        <v>Clean</v>
      </c>
    </row>
    <row r="619" spans="1:29">
      <c r="A619" t="s">
        <v>1939</v>
      </c>
      <c r="B619" s="2">
        <v>45564</v>
      </c>
      <c r="C619" s="2">
        <v>45565</v>
      </c>
      <c r="D619" s="3">
        <f t="shared" si="72"/>
        <v>1</v>
      </c>
      <c r="E619" t="s">
        <v>1940</v>
      </c>
      <c r="F619" t="s">
        <v>36</v>
      </c>
      <c r="G619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1941</v>
      </c>
      <c r="N619" t="s">
        <v>59</v>
      </c>
      <c r="O619">
        <v>9</v>
      </c>
      <c r="P619">
        <v>2741.91</v>
      </c>
      <c r="Q619" s="7">
        <v>0</v>
      </c>
      <c r="R619">
        <v>24677.19</v>
      </c>
      <c r="S619">
        <v>20350.849999999999</v>
      </c>
      <c r="T619">
        <v>4326.34</v>
      </c>
      <c r="U619" t="s">
        <v>32</v>
      </c>
      <c r="V619" t="s">
        <v>33</v>
      </c>
      <c r="W619" s="8">
        <f t="shared" si="73"/>
        <v>0</v>
      </c>
      <c r="X619">
        <f t="shared" si="74"/>
        <v>24677.19</v>
      </c>
      <c r="Y619">
        <f t="shared" si="75"/>
        <v>4326.34</v>
      </c>
      <c r="Z619" s="8">
        <f t="shared" si="76"/>
        <v>0.17531736798233513</v>
      </c>
      <c r="AA619" t="str">
        <f t="shared" si="77"/>
        <v>September</v>
      </c>
      <c r="AB619">
        <f t="shared" si="78"/>
        <v>2024</v>
      </c>
      <c r="AC619" t="str">
        <f t="shared" si="79"/>
        <v>Clean</v>
      </c>
    </row>
    <row r="620" spans="1:29">
      <c r="A620" t="s">
        <v>1942</v>
      </c>
      <c r="B620" s="2">
        <v>45496</v>
      </c>
      <c r="C620" s="2">
        <v>45503</v>
      </c>
      <c r="D620" s="3">
        <f t="shared" si="72"/>
        <v>7</v>
      </c>
      <c r="E620" t="s">
        <v>1943</v>
      </c>
      <c r="F620" t="s">
        <v>264</v>
      </c>
      <c r="G620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1944</v>
      </c>
      <c r="N620" t="s">
        <v>44</v>
      </c>
      <c r="O620">
        <v>9</v>
      </c>
      <c r="P620">
        <v>1870.11</v>
      </c>
      <c r="Q620" s="6">
        <v>0.25</v>
      </c>
      <c r="R620">
        <v>12623.24</v>
      </c>
      <c r="S620">
        <v>10540.8</v>
      </c>
      <c r="T620">
        <v>2082.44</v>
      </c>
      <c r="U620" t="s">
        <v>155</v>
      </c>
      <c r="V620" t="s">
        <v>68</v>
      </c>
      <c r="W620" s="8">
        <f t="shared" si="73"/>
        <v>0.25</v>
      </c>
      <c r="X620">
        <f t="shared" si="74"/>
        <v>12623.242499999998</v>
      </c>
      <c r="Y620">
        <f t="shared" si="75"/>
        <v>2082.4424999999992</v>
      </c>
      <c r="Z620" s="8">
        <f t="shared" si="76"/>
        <v>0.16496890557239943</v>
      </c>
      <c r="AA620" t="str">
        <f t="shared" si="77"/>
        <v>July</v>
      </c>
      <c r="AB620">
        <f t="shared" si="78"/>
        <v>2024</v>
      </c>
      <c r="AC620" t="str">
        <f t="shared" si="79"/>
        <v>Clean</v>
      </c>
    </row>
    <row r="621" spans="1:29">
      <c r="A621" t="s">
        <v>1945</v>
      </c>
      <c r="B621" s="2">
        <v>45618</v>
      </c>
      <c r="C621" s="2">
        <v>45623</v>
      </c>
      <c r="D621" s="3">
        <f t="shared" si="72"/>
        <v>5</v>
      </c>
      <c r="E621" t="s">
        <v>1946</v>
      </c>
      <c r="F621" t="s">
        <v>114</v>
      </c>
      <c r="G621" t="s">
        <v>90</v>
      </c>
      <c r="H621" t="s">
        <v>54</v>
      </c>
      <c r="I621" t="s">
        <v>247</v>
      </c>
      <c r="J621" t="s">
        <v>248</v>
      </c>
      <c r="K621" t="s">
        <v>28</v>
      </c>
      <c r="L621" t="s">
        <v>153</v>
      </c>
      <c r="M621" t="s">
        <v>1947</v>
      </c>
      <c r="N621" t="s">
        <v>50</v>
      </c>
      <c r="O621">
        <v>1</v>
      </c>
      <c r="P621">
        <v>4251.26</v>
      </c>
      <c r="Q621" s="6">
        <v>0.2</v>
      </c>
      <c r="R621">
        <v>3401.01</v>
      </c>
      <c r="S621">
        <v>2917.54</v>
      </c>
      <c r="T621">
        <v>483.47</v>
      </c>
      <c r="U621" t="s">
        <v>102</v>
      </c>
      <c r="V621" t="s">
        <v>103</v>
      </c>
      <c r="W621" s="8">
        <f t="shared" si="73"/>
        <v>0.2</v>
      </c>
      <c r="X621">
        <f t="shared" si="74"/>
        <v>3401.0080000000003</v>
      </c>
      <c r="Y621">
        <f t="shared" si="75"/>
        <v>483.4680000000003</v>
      </c>
      <c r="Z621" s="8">
        <f t="shared" si="76"/>
        <v>0.14215432601158254</v>
      </c>
      <c r="AA621" t="str">
        <f t="shared" si="77"/>
        <v>November</v>
      </c>
      <c r="AB621">
        <f t="shared" si="78"/>
        <v>2024</v>
      </c>
      <c r="AC621" t="str">
        <f t="shared" si="79"/>
        <v>Clean</v>
      </c>
    </row>
    <row r="622" spans="1:29">
      <c r="A622" t="s">
        <v>1948</v>
      </c>
      <c r="B622" s="2">
        <v>45522</v>
      </c>
      <c r="C622" s="2">
        <v>45525</v>
      </c>
      <c r="D622" s="3">
        <f t="shared" si="72"/>
        <v>3</v>
      </c>
      <c r="E622" t="s">
        <v>1949</v>
      </c>
      <c r="F622" t="s">
        <v>71</v>
      </c>
      <c r="G622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274</v>
      </c>
      <c r="M622" t="s">
        <v>1950</v>
      </c>
      <c r="N622" t="s">
        <v>59</v>
      </c>
      <c r="O622">
        <v>9</v>
      </c>
      <c r="P622">
        <v>734.34</v>
      </c>
      <c r="Q622" s="7">
        <v>0</v>
      </c>
      <c r="R622">
        <v>6609.06</v>
      </c>
      <c r="S622">
        <v>4946.78</v>
      </c>
      <c r="T622">
        <v>1662.28</v>
      </c>
      <c r="U622" t="s">
        <v>32</v>
      </c>
      <c r="V622" t="s">
        <v>33</v>
      </c>
      <c r="W622" s="8">
        <f t="shared" si="73"/>
        <v>0</v>
      </c>
      <c r="X622">
        <f t="shared" si="74"/>
        <v>6609.06</v>
      </c>
      <c r="Y622">
        <f t="shared" si="75"/>
        <v>1662.2800000000007</v>
      </c>
      <c r="Z622" s="8">
        <f t="shared" si="76"/>
        <v>0.25151534408826681</v>
      </c>
      <c r="AA622" t="str">
        <f t="shared" si="77"/>
        <v>August</v>
      </c>
      <c r="AB622">
        <f t="shared" si="78"/>
        <v>2024</v>
      </c>
      <c r="AC622" t="str">
        <f t="shared" si="79"/>
        <v>Clean</v>
      </c>
    </row>
    <row r="623" spans="1:29">
      <c r="A623" t="s">
        <v>1951</v>
      </c>
      <c r="B623" s="2">
        <v>45624</v>
      </c>
      <c r="C623" s="2">
        <v>45455</v>
      </c>
      <c r="D623" s="5">
        <f t="shared" si="72"/>
        <v>-169</v>
      </c>
      <c r="E623" t="s">
        <v>1952</v>
      </c>
      <c r="F623" t="s">
        <v>89</v>
      </c>
      <c r="G623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1953</v>
      </c>
      <c r="N623" t="s">
        <v>44</v>
      </c>
      <c r="O623">
        <v>5</v>
      </c>
      <c r="P623">
        <v>1092.8399999999999</v>
      </c>
      <c r="Q623" s="7">
        <v>0</v>
      </c>
      <c r="R623">
        <v>5464.2</v>
      </c>
      <c r="S623">
        <v>3318.09</v>
      </c>
      <c r="T623">
        <v>2146.11</v>
      </c>
      <c r="U623" t="s">
        <v>32</v>
      </c>
      <c r="V623" t="s">
        <v>33</v>
      </c>
      <c r="W623" s="8">
        <f t="shared" si="73"/>
        <v>0</v>
      </c>
      <c r="X623">
        <f t="shared" si="74"/>
        <v>5464.2</v>
      </c>
      <c r="Y623">
        <f t="shared" si="75"/>
        <v>2146.1099999999997</v>
      </c>
      <c r="Z623" s="8">
        <f t="shared" si="76"/>
        <v>0.39275831777753373</v>
      </c>
      <c r="AA623" t="str">
        <f t="shared" si="77"/>
        <v>November</v>
      </c>
      <c r="AB623">
        <f t="shared" si="78"/>
        <v>2024</v>
      </c>
      <c r="AC623" t="str">
        <f t="shared" si="79"/>
        <v>Warning</v>
      </c>
    </row>
    <row r="624" spans="1:29">
      <c r="A624" t="s">
        <v>1954</v>
      </c>
      <c r="B624" s="2">
        <v>45686</v>
      </c>
      <c r="C624" s="2">
        <v>45694</v>
      </c>
      <c r="D624" s="3">
        <f t="shared" si="72"/>
        <v>8</v>
      </c>
      <c r="E624" t="s">
        <v>1955</v>
      </c>
      <c r="F624" t="s">
        <v>71</v>
      </c>
      <c r="G624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1956</v>
      </c>
      <c r="N624" t="s">
        <v>59</v>
      </c>
      <c r="O624">
        <v>4</v>
      </c>
      <c r="P624">
        <v>2759.01</v>
      </c>
      <c r="Q624" s="6">
        <v>0.05</v>
      </c>
      <c r="R624">
        <v>10484.24</v>
      </c>
      <c r="S624">
        <v>6680.15</v>
      </c>
      <c r="T624">
        <v>3804.09</v>
      </c>
      <c r="U624" t="s">
        <v>32</v>
      </c>
      <c r="V624" t="s">
        <v>33</v>
      </c>
      <c r="W624" s="8">
        <f t="shared" si="73"/>
        <v>0.05</v>
      </c>
      <c r="X624">
        <f t="shared" si="74"/>
        <v>10484.238000000001</v>
      </c>
      <c r="Y624">
        <f t="shared" si="75"/>
        <v>3804.0880000000016</v>
      </c>
      <c r="Z624" s="8">
        <f t="shared" si="76"/>
        <v>0.36283876806306775</v>
      </c>
      <c r="AA624" t="str">
        <f t="shared" si="77"/>
        <v>January</v>
      </c>
      <c r="AB624">
        <f t="shared" si="78"/>
        <v>2025</v>
      </c>
      <c r="AC624" t="str">
        <f t="shared" si="79"/>
        <v>Clean</v>
      </c>
    </row>
    <row r="625" spans="1:29">
      <c r="A625" t="s">
        <v>1957</v>
      </c>
      <c r="B625" s="2">
        <v>45512</v>
      </c>
      <c r="C625" s="2">
        <v>45518</v>
      </c>
      <c r="D625" s="3">
        <f t="shared" si="72"/>
        <v>6</v>
      </c>
      <c r="E625" t="s">
        <v>1958</v>
      </c>
      <c r="F625" t="s">
        <v>71</v>
      </c>
      <c r="G62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1959</v>
      </c>
      <c r="N625" t="s">
        <v>31</v>
      </c>
      <c r="O625">
        <v>8</v>
      </c>
      <c r="P625">
        <v>1359.19</v>
      </c>
      <c r="Q625" s="6">
        <v>0.05</v>
      </c>
      <c r="R625">
        <v>10329.84</v>
      </c>
      <c r="S625">
        <v>7512.22</v>
      </c>
      <c r="T625">
        <v>2817.62</v>
      </c>
      <c r="U625" t="s">
        <v>32</v>
      </c>
      <c r="V625" t="s">
        <v>33</v>
      </c>
      <c r="W625" s="8">
        <f t="shared" si="73"/>
        <v>0.05</v>
      </c>
      <c r="X625">
        <f t="shared" si="74"/>
        <v>10329.843999999999</v>
      </c>
      <c r="Y625">
        <f t="shared" si="75"/>
        <v>2817.6239999999989</v>
      </c>
      <c r="Z625" s="8">
        <f t="shared" si="76"/>
        <v>0.27276539703794161</v>
      </c>
      <c r="AA625" t="str">
        <f t="shared" si="77"/>
        <v>August</v>
      </c>
      <c r="AB625">
        <f t="shared" si="78"/>
        <v>2024</v>
      </c>
      <c r="AC625" t="str">
        <f t="shared" si="79"/>
        <v>Clean</v>
      </c>
    </row>
    <row r="626" spans="1:29">
      <c r="A626" t="s">
        <v>1960</v>
      </c>
      <c r="B626" s="2">
        <v>45321</v>
      </c>
      <c r="C626" s="2">
        <v>45323</v>
      </c>
      <c r="D626" s="3">
        <f t="shared" si="72"/>
        <v>2</v>
      </c>
      <c r="E626" t="s">
        <v>1961</v>
      </c>
      <c r="F626" t="s">
        <v>79</v>
      </c>
      <c r="G626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1962</v>
      </c>
      <c r="N626" t="s">
        <v>50</v>
      </c>
      <c r="O626">
        <v>2</v>
      </c>
      <c r="P626">
        <v>4451.03</v>
      </c>
      <c r="Q626" s="6">
        <v>0.05</v>
      </c>
      <c r="R626">
        <v>8456.9599999999991</v>
      </c>
      <c r="S626">
        <v>5462.85</v>
      </c>
      <c r="T626">
        <v>2994.11</v>
      </c>
      <c r="U626" t="s">
        <v>32</v>
      </c>
      <c r="V626" t="s">
        <v>33</v>
      </c>
      <c r="W626" s="8">
        <f t="shared" si="73"/>
        <v>0.05</v>
      </c>
      <c r="X626">
        <f t="shared" si="74"/>
        <v>8456.9569999999985</v>
      </c>
      <c r="Y626">
        <f t="shared" si="75"/>
        <v>2994.1069999999982</v>
      </c>
      <c r="Z626" s="8">
        <f t="shared" si="76"/>
        <v>0.35404070282017502</v>
      </c>
      <c r="AA626" t="str">
        <f t="shared" si="77"/>
        <v>January</v>
      </c>
      <c r="AB626">
        <f t="shared" si="78"/>
        <v>2024</v>
      </c>
      <c r="AC626" t="str">
        <f t="shared" si="79"/>
        <v>Clean</v>
      </c>
    </row>
    <row r="627" spans="1:29">
      <c r="A627" t="s">
        <v>1963</v>
      </c>
      <c r="B627" s="2">
        <v>45641</v>
      </c>
      <c r="C627" s="2">
        <v>45647</v>
      </c>
      <c r="D627" s="3">
        <f t="shared" si="72"/>
        <v>6</v>
      </c>
      <c r="E627" t="s">
        <v>1964</v>
      </c>
      <c r="F627" t="s">
        <v>162</v>
      </c>
      <c r="G627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1965</v>
      </c>
      <c r="N627" t="s">
        <v>44</v>
      </c>
      <c r="O627">
        <v>3</v>
      </c>
      <c r="P627">
        <v>527.66999999999996</v>
      </c>
      <c r="Q627" s="6">
        <v>0.2</v>
      </c>
      <c r="R627">
        <v>1266.4100000000001</v>
      </c>
      <c r="S627">
        <v>983.92</v>
      </c>
      <c r="T627">
        <v>282.49</v>
      </c>
      <c r="U627" t="s">
        <v>32</v>
      </c>
      <c r="V627" t="s">
        <v>33</v>
      </c>
      <c r="W627" s="8">
        <f t="shared" si="73"/>
        <v>0.2</v>
      </c>
      <c r="X627">
        <f t="shared" si="74"/>
        <v>1266.4079999999999</v>
      </c>
      <c r="Y627">
        <f t="shared" si="75"/>
        <v>282.48799999999994</v>
      </c>
      <c r="Z627" s="8">
        <f t="shared" si="76"/>
        <v>0.22306239379410109</v>
      </c>
      <c r="AA627" t="str">
        <f t="shared" si="77"/>
        <v>December</v>
      </c>
      <c r="AB627">
        <f t="shared" si="78"/>
        <v>2024</v>
      </c>
      <c r="AC627" t="str">
        <f t="shared" si="79"/>
        <v>Clean</v>
      </c>
    </row>
    <row r="628" spans="1:29">
      <c r="A628" t="s">
        <v>1966</v>
      </c>
      <c r="B628" s="2">
        <v>45753</v>
      </c>
      <c r="C628" s="2">
        <v>45815</v>
      </c>
      <c r="D628" s="3">
        <f t="shared" si="72"/>
        <v>62</v>
      </c>
      <c r="E628" t="s">
        <v>1967</v>
      </c>
      <c r="F628" t="s">
        <v>132</v>
      </c>
      <c r="G628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274</v>
      </c>
      <c r="M628" t="s">
        <v>1968</v>
      </c>
      <c r="N628" t="s">
        <v>59</v>
      </c>
      <c r="O628">
        <v>8</v>
      </c>
      <c r="P628">
        <v>1434.13</v>
      </c>
      <c r="Q628" s="7">
        <v>0</v>
      </c>
      <c r="R628">
        <v>11473.04</v>
      </c>
      <c r="S628">
        <v>8931.33</v>
      </c>
      <c r="T628">
        <v>2541.71</v>
      </c>
      <c r="U628" t="s">
        <v>111</v>
      </c>
      <c r="V628" t="s">
        <v>103</v>
      </c>
      <c r="W628" s="8">
        <f t="shared" si="73"/>
        <v>0</v>
      </c>
      <c r="X628">
        <f t="shared" si="74"/>
        <v>11473.04</v>
      </c>
      <c r="Y628">
        <f t="shared" si="75"/>
        <v>2541.7100000000009</v>
      </c>
      <c r="Z628" s="8">
        <f t="shared" si="76"/>
        <v>0.22153762211236086</v>
      </c>
      <c r="AA628" t="str">
        <f t="shared" si="77"/>
        <v>April</v>
      </c>
      <c r="AB628">
        <f t="shared" si="78"/>
        <v>2025</v>
      </c>
      <c r="AC628" t="str">
        <f t="shared" si="79"/>
        <v>Clean</v>
      </c>
    </row>
    <row r="629" spans="1:29">
      <c r="A629" t="s">
        <v>1969</v>
      </c>
      <c r="B629" s="2">
        <v>45701</v>
      </c>
      <c r="C629" s="2">
        <v>45709</v>
      </c>
      <c r="D629" s="3">
        <f t="shared" si="72"/>
        <v>8</v>
      </c>
      <c r="E629" t="s">
        <v>1970</v>
      </c>
      <c r="F629" t="s">
        <v>23</v>
      </c>
      <c r="G629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1971</v>
      </c>
      <c r="N629" t="s">
        <v>31</v>
      </c>
      <c r="O629">
        <v>2</v>
      </c>
      <c r="P629">
        <v>2360.02</v>
      </c>
      <c r="Q629" s="6">
        <v>0.15</v>
      </c>
      <c r="R629">
        <v>4012.03</v>
      </c>
      <c r="S629">
        <v>3142.92</v>
      </c>
      <c r="T629">
        <v>869.11</v>
      </c>
      <c r="U629" t="s">
        <v>111</v>
      </c>
      <c r="V629" t="s">
        <v>68</v>
      </c>
      <c r="W629" s="8">
        <f t="shared" si="73"/>
        <v>0.15</v>
      </c>
      <c r="X629">
        <f t="shared" si="74"/>
        <v>4012.0339999999997</v>
      </c>
      <c r="Y629">
        <f t="shared" si="75"/>
        <v>869.11399999999958</v>
      </c>
      <c r="Z629" s="8">
        <f t="shared" si="76"/>
        <v>0.21662677833737193</v>
      </c>
      <c r="AA629" t="str">
        <f t="shared" si="77"/>
        <v>February</v>
      </c>
      <c r="AB629">
        <f t="shared" si="78"/>
        <v>2025</v>
      </c>
      <c r="AC629" t="str">
        <f t="shared" si="79"/>
        <v>Clean</v>
      </c>
    </row>
    <row r="630" spans="1:29">
      <c r="A630" t="s">
        <v>1972</v>
      </c>
      <c r="B630" s="2">
        <v>45935</v>
      </c>
      <c r="C630" s="2">
        <v>45942</v>
      </c>
      <c r="D630" s="3">
        <f t="shared" si="72"/>
        <v>7</v>
      </c>
      <c r="E630" t="s">
        <v>1973</v>
      </c>
      <c r="F630" t="s">
        <v>62</v>
      </c>
      <c r="G630" t="s">
        <v>95</v>
      </c>
      <c r="H630" t="s">
        <v>38</v>
      </c>
      <c r="I630" t="s">
        <v>228</v>
      </c>
      <c r="J630" t="s">
        <v>229</v>
      </c>
      <c r="K630" t="s">
        <v>74</v>
      </c>
      <c r="L630" t="s">
        <v>75</v>
      </c>
      <c r="M630" t="s">
        <v>1974</v>
      </c>
      <c r="N630" t="s">
        <v>44</v>
      </c>
      <c r="O630">
        <v>7</v>
      </c>
      <c r="P630">
        <v>806.67</v>
      </c>
      <c r="Q630" s="6">
        <v>0.05</v>
      </c>
      <c r="R630">
        <v>5364.36</v>
      </c>
      <c r="S630">
        <v>4391.29</v>
      </c>
      <c r="T630">
        <v>973.07</v>
      </c>
      <c r="U630" t="s">
        <v>32</v>
      </c>
      <c r="V630" t="s">
        <v>33</v>
      </c>
      <c r="W630" s="8">
        <f t="shared" si="73"/>
        <v>0.05</v>
      </c>
      <c r="X630">
        <f t="shared" si="74"/>
        <v>5364.3554999999997</v>
      </c>
      <c r="Y630">
        <f t="shared" si="75"/>
        <v>973.0654999999997</v>
      </c>
      <c r="Z630" s="8">
        <f t="shared" si="76"/>
        <v>0.18139467080434915</v>
      </c>
      <c r="AA630" t="str">
        <f t="shared" si="77"/>
        <v>October</v>
      </c>
      <c r="AB630">
        <f t="shared" si="78"/>
        <v>2025</v>
      </c>
      <c r="AC630" t="str">
        <f t="shared" si="79"/>
        <v>Clean</v>
      </c>
    </row>
    <row r="631" spans="1:29">
      <c r="A631" t="s">
        <v>1975</v>
      </c>
      <c r="B631" s="2">
        <v>45910</v>
      </c>
      <c r="C631" s="2">
        <v>45914</v>
      </c>
      <c r="D631" s="3">
        <f t="shared" si="72"/>
        <v>4</v>
      </c>
      <c r="E631" t="s">
        <v>1976</v>
      </c>
      <c r="F631" t="s">
        <v>53</v>
      </c>
      <c r="G631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1977</v>
      </c>
      <c r="N631" t="s">
        <v>44</v>
      </c>
      <c r="O631">
        <v>3</v>
      </c>
      <c r="P631">
        <v>4198.46</v>
      </c>
      <c r="Q631" s="6">
        <v>0.15</v>
      </c>
      <c r="R631">
        <v>10706.07</v>
      </c>
      <c r="S631">
        <v>5927.1</v>
      </c>
      <c r="T631">
        <v>4778.97</v>
      </c>
      <c r="U631" t="s">
        <v>32</v>
      </c>
      <c r="V631" t="s">
        <v>33</v>
      </c>
      <c r="W631" s="8">
        <f t="shared" si="73"/>
        <v>0.15</v>
      </c>
      <c r="X631">
        <f t="shared" si="74"/>
        <v>10706.073</v>
      </c>
      <c r="Y631">
        <f t="shared" si="75"/>
        <v>4778.973</v>
      </c>
      <c r="Z631" s="8">
        <f t="shared" si="76"/>
        <v>0.44637963892082555</v>
      </c>
      <c r="AA631" t="str">
        <f t="shared" si="77"/>
        <v>September</v>
      </c>
      <c r="AB631">
        <f t="shared" si="78"/>
        <v>2025</v>
      </c>
      <c r="AC631" t="str">
        <f t="shared" si="79"/>
        <v>Clean</v>
      </c>
    </row>
    <row r="632" spans="1:29">
      <c r="A632" t="s">
        <v>1978</v>
      </c>
      <c r="B632" s="2">
        <v>45391</v>
      </c>
      <c r="C632" s="2">
        <v>45392</v>
      </c>
      <c r="D632" s="3">
        <f t="shared" si="72"/>
        <v>1</v>
      </c>
      <c r="E632" t="s">
        <v>1979</v>
      </c>
      <c r="F632" t="s">
        <v>114</v>
      </c>
      <c r="G632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1980</v>
      </c>
      <c r="N632" t="s">
        <v>59</v>
      </c>
      <c r="O632">
        <v>4</v>
      </c>
      <c r="P632">
        <v>3047.05</v>
      </c>
      <c r="Q632" s="6">
        <v>0.1</v>
      </c>
      <c r="R632">
        <v>10969.38</v>
      </c>
      <c r="S632">
        <v>9254.4599999999991</v>
      </c>
      <c r="T632">
        <v>1714.92</v>
      </c>
      <c r="U632" t="s">
        <v>32</v>
      </c>
      <c r="V632" t="s">
        <v>33</v>
      </c>
      <c r="W632" s="8">
        <f t="shared" si="73"/>
        <v>0.1</v>
      </c>
      <c r="X632">
        <f t="shared" si="74"/>
        <v>10969.380000000001</v>
      </c>
      <c r="Y632">
        <f t="shared" si="75"/>
        <v>1714.9200000000019</v>
      </c>
      <c r="Z632" s="8">
        <f t="shared" si="76"/>
        <v>0.15633700354988173</v>
      </c>
      <c r="AA632" t="str">
        <f t="shared" si="77"/>
        <v>April</v>
      </c>
      <c r="AB632">
        <f t="shared" si="78"/>
        <v>2024</v>
      </c>
      <c r="AC632" t="str">
        <f t="shared" si="79"/>
        <v>Clean</v>
      </c>
    </row>
    <row r="633" spans="1:29">
      <c r="A633" t="s">
        <v>1981</v>
      </c>
      <c r="B633" s="2">
        <v>45392</v>
      </c>
      <c r="C633" s="2">
        <v>45397</v>
      </c>
      <c r="D633" s="3">
        <f t="shared" si="72"/>
        <v>5</v>
      </c>
      <c r="E633" t="s">
        <v>1982</v>
      </c>
      <c r="F633" t="s">
        <v>128</v>
      </c>
      <c r="G633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1983</v>
      </c>
      <c r="N633" t="s">
        <v>59</v>
      </c>
      <c r="O633">
        <v>8</v>
      </c>
      <c r="P633">
        <v>4362.4799999999996</v>
      </c>
      <c r="Q633" s="6">
        <v>0.1</v>
      </c>
      <c r="R633">
        <v>31409.86</v>
      </c>
      <c r="S633">
        <v>22523.54</v>
      </c>
      <c r="T633">
        <v>8886.32</v>
      </c>
      <c r="U633" t="s">
        <v>32</v>
      </c>
      <c r="V633" t="s">
        <v>33</v>
      </c>
      <c r="W633" s="8">
        <f t="shared" si="73"/>
        <v>0.1</v>
      </c>
      <c r="X633">
        <f t="shared" si="74"/>
        <v>31409.855999999996</v>
      </c>
      <c r="Y633">
        <f t="shared" si="75"/>
        <v>8886.3159999999953</v>
      </c>
      <c r="Z633" s="8">
        <f t="shared" si="76"/>
        <v>0.2829148914277097</v>
      </c>
      <c r="AA633" t="str">
        <f t="shared" si="77"/>
        <v>April</v>
      </c>
      <c r="AB633">
        <f t="shared" si="78"/>
        <v>2024</v>
      </c>
      <c r="AC633" t="str">
        <f t="shared" si="79"/>
        <v>Clean</v>
      </c>
    </row>
    <row r="634" spans="1:29">
      <c r="A634" t="s">
        <v>1984</v>
      </c>
      <c r="B634" s="2">
        <v>45762</v>
      </c>
      <c r="C634" s="2">
        <v>45763</v>
      </c>
      <c r="D634" s="3">
        <f t="shared" si="72"/>
        <v>1</v>
      </c>
      <c r="E634" t="s">
        <v>1985</v>
      </c>
      <c r="F634" t="s">
        <v>132</v>
      </c>
      <c r="G634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1986</v>
      </c>
      <c r="N634" t="s">
        <v>50</v>
      </c>
      <c r="O634">
        <v>5</v>
      </c>
      <c r="P634">
        <v>2850.53</v>
      </c>
      <c r="Q634" s="7">
        <v>0</v>
      </c>
      <c r="R634">
        <v>14252.65</v>
      </c>
      <c r="S634">
        <v>11558.31</v>
      </c>
      <c r="T634">
        <v>2694.34</v>
      </c>
      <c r="U634" t="s">
        <v>32</v>
      </c>
      <c r="V634" t="s">
        <v>33</v>
      </c>
      <c r="W634" s="8">
        <f t="shared" si="73"/>
        <v>0</v>
      </c>
      <c r="X634">
        <f t="shared" si="74"/>
        <v>14252.650000000001</v>
      </c>
      <c r="Y634">
        <f t="shared" si="75"/>
        <v>2694.340000000002</v>
      </c>
      <c r="Z634" s="8">
        <f t="shared" si="76"/>
        <v>0.18904133617257154</v>
      </c>
      <c r="AA634" t="str">
        <f t="shared" si="77"/>
        <v>April</v>
      </c>
      <c r="AB634">
        <f t="shared" si="78"/>
        <v>2025</v>
      </c>
      <c r="AC634" t="str">
        <f t="shared" si="79"/>
        <v>Clean</v>
      </c>
    </row>
    <row r="635" spans="1:29">
      <c r="A635" t="s">
        <v>1987</v>
      </c>
      <c r="B635" s="2">
        <v>45765</v>
      </c>
      <c r="C635" s="2">
        <v>45767</v>
      </c>
      <c r="D635" s="3">
        <f t="shared" si="72"/>
        <v>2</v>
      </c>
      <c r="E635" t="s">
        <v>1988</v>
      </c>
      <c r="F635" t="s">
        <v>128</v>
      </c>
      <c r="G635" t="s">
        <v>37</v>
      </c>
      <c r="H635" t="s">
        <v>54</v>
      </c>
      <c r="I635" t="s">
        <v>247</v>
      </c>
      <c r="J635" t="s">
        <v>248</v>
      </c>
      <c r="K635" t="s">
        <v>74</v>
      </c>
      <c r="L635" t="s">
        <v>75</v>
      </c>
      <c r="M635" t="s">
        <v>1989</v>
      </c>
      <c r="N635" t="s">
        <v>31</v>
      </c>
      <c r="O635">
        <v>1</v>
      </c>
      <c r="P635">
        <v>1626.08</v>
      </c>
      <c r="Q635" s="6">
        <v>0.15</v>
      </c>
      <c r="R635">
        <v>1382.17</v>
      </c>
      <c r="S635">
        <v>810.03</v>
      </c>
      <c r="T635">
        <v>572.14</v>
      </c>
      <c r="U635" t="s">
        <v>32</v>
      </c>
      <c r="V635" t="s">
        <v>33</v>
      </c>
      <c r="W635" s="8">
        <f t="shared" si="73"/>
        <v>0.15</v>
      </c>
      <c r="X635">
        <f t="shared" si="74"/>
        <v>1382.1679999999999</v>
      </c>
      <c r="Y635">
        <f t="shared" si="75"/>
        <v>572.13799999999992</v>
      </c>
      <c r="Z635" s="8">
        <f t="shared" si="76"/>
        <v>0.4139424440444287</v>
      </c>
      <c r="AA635" t="str">
        <f t="shared" si="77"/>
        <v>April</v>
      </c>
      <c r="AB635">
        <f t="shared" si="78"/>
        <v>2025</v>
      </c>
      <c r="AC635" t="str">
        <f t="shared" si="79"/>
        <v>Clean</v>
      </c>
    </row>
    <row r="636" spans="1:29">
      <c r="A636" t="s">
        <v>1990</v>
      </c>
      <c r="B636" s="2">
        <v>45668</v>
      </c>
      <c r="C636" s="2">
        <v>45669</v>
      </c>
      <c r="D636" s="3">
        <f t="shared" si="72"/>
        <v>1</v>
      </c>
      <c r="E636" t="s">
        <v>1991</v>
      </c>
      <c r="F636" t="s">
        <v>89</v>
      </c>
      <c r="G636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1992</v>
      </c>
      <c r="N636" t="s">
        <v>31</v>
      </c>
      <c r="O636">
        <v>4</v>
      </c>
      <c r="P636">
        <v>2427.15</v>
      </c>
      <c r="Q636" s="6">
        <v>0.05</v>
      </c>
      <c r="R636">
        <v>9223.17</v>
      </c>
      <c r="S636">
        <v>5103.7</v>
      </c>
      <c r="T636">
        <v>4119.47</v>
      </c>
      <c r="U636" t="s">
        <v>32</v>
      </c>
      <c r="V636" t="s">
        <v>33</v>
      </c>
      <c r="W636" s="8">
        <f t="shared" si="73"/>
        <v>0.05</v>
      </c>
      <c r="X636">
        <f t="shared" si="74"/>
        <v>9223.17</v>
      </c>
      <c r="Y636">
        <f t="shared" si="75"/>
        <v>4119.47</v>
      </c>
      <c r="Z636" s="8">
        <f t="shared" si="76"/>
        <v>0.44664361602355807</v>
      </c>
      <c r="AA636" t="str">
        <f t="shared" si="77"/>
        <v>January</v>
      </c>
      <c r="AB636">
        <f t="shared" si="78"/>
        <v>2025</v>
      </c>
      <c r="AC636" t="str">
        <f t="shared" si="79"/>
        <v>Clean</v>
      </c>
    </row>
    <row r="637" spans="1:29">
      <c r="A637" t="s">
        <v>1993</v>
      </c>
      <c r="B637" s="2">
        <v>45432</v>
      </c>
      <c r="C637" s="2">
        <v>45437</v>
      </c>
      <c r="D637" s="3">
        <f t="shared" si="72"/>
        <v>5</v>
      </c>
      <c r="E637" t="s">
        <v>1994</v>
      </c>
      <c r="F637" t="s">
        <v>36</v>
      </c>
      <c r="G637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1995</v>
      </c>
      <c r="N637" t="s">
        <v>44</v>
      </c>
      <c r="O637">
        <v>7</v>
      </c>
      <c r="P637">
        <v>3122.85</v>
      </c>
      <c r="Q637" s="6">
        <v>0.25</v>
      </c>
      <c r="R637">
        <v>16394.96</v>
      </c>
      <c r="S637">
        <v>10404.17</v>
      </c>
      <c r="T637">
        <v>5990.79</v>
      </c>
      <c r="U637" t="s">
        <v>32</v>
      </c>
      <c r="V637" t="s">
        <v>33</v>
      </c>
      <c r="W637" s="8">
        <f t="shared" si="73"/>
        <v>0.25</v>
      </c>
      <c r="X637">
        <f t="shared" si="74"/>
        <v>16394.962500000001</v>
      </c>
      <c r="Y637">
        <f t="shared" si="75"/>
        <v>5990.7925000000014</v>
      </c>
      <c r="Z637" s="8">
        <f t="shared" si="76"/>
        <v>0.36540446493854445</v>
      </c>
      <c r="AA637" t="str">
        <f t="shared" si="77"/>
        <v>May</v>
      </c>
      <c r="AB637">
        <f t="shared" si="78"/>
        <v>2024</v>
      </c>
      <c r="AC637" t="str">
        <f t="shared" si="79"/>
        <v>Clean</v>
      </c>
    </row>
    <row r="638" spans="1:29">
      <c r="A638" t="s">
        <v>1996</v>
      </c>
      <c r="B638" s="2">
        <v>45567</v>
      </c>
      <c r="C638" s="2">
        <v>45574</v>
      </c>
      <c r="D638" s="3">
        <f t="shared" si="72"/>
        <v>7</v>
      </c>
      <c r="E638" t="s">
        <v>1997</v>
      </c>
      <c r="F638" t="s">
        <v>62</v>
      </c>
      <c r="G638" t="s">
        <v>24</v>
      </c>
      <c r="H638" t="s">
        <v>54</v>
      </c>
      <c r="I638" t="s">
        <v>247</v>
      </c>
      <c r="J638" t="s">
        <v>248</v>
      </c>
      <c r="K638" t="s">
        <v>28</v>
      </c>
      <c r="L638" t="s">
        <v>29</v>
      </c>
      <c r="M638" t="s">
        <v>1998</v>
      </c>
      <c r="N638" t="s">
        <v>59</v>
      </c>
      <c r="O638">
        <v>8</v>
      </c>
      <c r="P638">
        <v>1910.31</v>
      </c>
      <c r="Q638" s="6">
        <v>0.15</v>
      </c>
      <c r="R638">
        <v>12990.11</v>
      </c>
      <c r="S638">
        <v>10200.799999999999</v>
      </c>
      <c r="T638">
        <v>2789.31</v>
      </c>
      <c r="U638" t="s">
        <v>32</v>
      </c>
      <c r="V638" t="s">
        <v>33</v>
      </c>
      <c r="W638" s="8">
        <f t="shared" si="73"/>
        <v>0.15</v>
      </c>
      <c r="X638">
        <f t="shared" si="74"/>
        <v>12990.108</v>
      </c>
      <c r="Y638">
        <f t="shared" si="75"/>
        <v>2789.3080000000009</v>
      </c>
      <c r="Z638" s="8">
        <f t="shared" si="76"/>
        <v>0.2147255434673831</v>
      </c>
      <c r="AA638" t="str">
        <f t="shared" si="77"/>
        <v>October</v>
      </c>
      <c r="AB638">
        <f t="shared" si="78"/>
        <v>2024</v>
      </c>
      <c r="AC638" t="str">
        <f t="shared" si="79"/>
        <v>Clean</v>
      </c>
    </row>
    <row r="639" spans="1:29">
      <c r="A639" t="s">
        <v>1999</v>
      </c>
      <c r="B639" s="2">
        <v>45438</v>
      </c>
      <c r="C639" s="2">
        <v>45438</v>
      </c>
      <c r="D639" s="3">
        <f t="shared" si="72"/>
        <v>0</v>
      </c>
      <c r="E639" t="s">
        <v>2000</v>
      </c>
      <c r="F639" t="s">
        <v>118</v>
      </c>
      <c r="G639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2001</v>
      </c>
      <c r="N639" t="s">
        <v>50</v>
      </c>
      <c r="O639">
        <v>2</v>
      </c>
      <c r="P639">
        <v>3192.47</v>
      </c>
      <c r="Q639" s="6">
        <v>0.2</v>
      </c>
      <c r="R639">
        <v>5107.95</v>
      </c>
      <c r="S639">
        <v>3133.08</v>
      </c>
      <c r="T639">
        <v>1974.87</v>
      </c>
      <c r="U639" t="s">
        <v>32</v>
      </c>
      <c r="V639" t="s">
        <v>33</v>
      </c>
      <c r="W639" s="8">
        <f t="shared" si="73"/>
        <v>0.2</v>
      </c>
      <c r="X639">
        <f t="shared" si="74"/>
        <v>5107.9520000000002</v>
      </c>
      <c r="Y639">
        <f t="shared" si="75"/>
        <v>1974.8720000000003</v>
      </c>
      <c r="Z639" s="8">
        <f t="shared" si="76"/>
        <v>0.38662696908663202</v>
      </c>
      <c r="AA639" t="str">
        <f t="shared" si="77"/>
        <v>May</v>
      </c>
      <c r="AB639">
        <f t="shared" si="78"/>
        <v>2024</v>
      </c>
      <c r="AC639" t="str">
        <f t="shared" si="79"/>
        <v>Clean</v>
      </c>
    </row>
    <row r="640" spans="1:29">
      <c r="A640" t="s">
        <v>2002</v>
      </c>
      <c r="B640" s="2">
        <v>45317</v>
      </c>
      <c r="C640" s="2">
        <v>45322</v>
      </c>
      <c r="D640" s="3">
        <f t="shared" si="72"/>
        <v>5</v>
      </c>
      <c r="E640" t="s">
        <v>2003</v>
      </c>
      <c r="F640" t="s">
        <v>23</v>
      </c>
      <c r="G640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2004</v>
      </c>
      <c r="N640" t="s">
        <v>31</v>
      </c>
      <c r="O640">
        <v>3</v>
      </c>
      <c r="P640">
        <v>3224.32</v>
      </c>
      <c r="Q640" s="6">
        <v>0.2</v>
      </c>
      <c r="R640">
        <v>7738.37</v>
      </c>
      <c r="S640">
        <v>4626.8500000000004</v>
      </c>
      <c r="T640">
        <v>3111.52</v>
      </c>
      <c r="U640" t="s">
        <v>155</v>
      </c>
      <c r="V640" t="s">
        <v>103</v>
      </c>
      <c r="W640" s="8">
        <f t="shared" si="73"/>
        <v>0.2</v>
      </c>
      <c r="X640">
        <f t="shared" si="74"/>
        <v>7738.3680000000013</v>
      </c>
      <c r="Y640">
        <f t="shared" si="75"/>
        <v>3111.5180000000009</v>
      </c>
      <c r="Z640" s="8">
        <f t="shared" si="76"/>
        <v>0.40208969126306743</v>
      </c>
      <c r="AA640" t="str">
        <f t="shared" si="77"/>
        <v>January</v>
      </c>
      <c r="AB640">
        <f t="shared" si="78"/>
        <v>2024</v>
      </c>
      <c r="AC640" t="str">
        <f t="shared" si="79"/>
        <v>Clean</v>
      </c>
    </row>
    <row r="641" spans="1:29">
      <c r="A641" t="s">
        <v>2005</v>
      </c>
      <c r="B641" s="2">
        <v>45653</v>
      </c>
      <c r="C641" s="2">
        <v>45657</v>
      </c>
      <c r="D641" s="3">
        <f t="shared" si="72"/>
        <v>4</v>
      </c>
      <c r="E641" t="s">
        <v>2006</v>
      </c>
      <c r="F641" t="s">
        <v>47</v>
      </c>
      <c r="G641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2007</v>
      </c>
      <c r="N641" t="s">
        <v>31</v>
      </c>
      <c r="O641">
        <v>1</v>
      </c>
      <c r="P641">
        <v>1594.7</v>
      </c>
      <c r="Q641" s="6">
        <v>0.05</v>
      </c>
      <c r="R641">
        <v>1514.96</v>
      </c>
      <c r="S641">
        <v>1046.17</v>
      </c>
      <c r="T641">
        <v>468.79</v>
      </c>
      <c r="U641" t="s">
        <v>32</v>
      </c>
      <c r="V641" t="s">
        <v>33</v>
      </c>
      <c r="W641" s="8">
        <f t="shared" si="73"/>
        <v>0.05</v>
      </c>
      <c r="X641">
        <f t="shared" si="74"/>
        <v>1514.9649999999999</v>
      </c>
      <c r="Y641">
        <f t="shared" si="75"/>
        <v>468.79499999999985</v>
      </c>
      <c r="Z641" s="8">
        <f t="shared" si="76"/>
        <v>0.3094427924077453</v>
      </c>
      <c r="AA641" t="str">
        <f t="shared" si="77"/>
        <v>December</v>
      </c>
      <c r="AB641">
        <f t="shared" si="78"/>
        <v>2024</v>
      </c>
      <c r="AC641" t="str">
        <f t="shared" si="79"/>
        <v>Clean</v>
      </c>
    </row>
    <row r="642" spans="1:29">
      <c r="A642" t="s">
        <v>2008</v>
      </c>
      <c r="B642" s="2">
        <v>45671</v>
      </c>
      <c r="C642" s="2">
        <v>45674</v>
      </c>
      <c r="D642" s="3">
        <f t="shared" ref="D642:D705" si="80">C642-B642</f>
        <v>3</v>
      </c>
      <c r="E642" t="s">
        <v>2009</v>
      </c>
      <c r="F642" t="s">
        <v>71</v>
      </c>
      <c r="G642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2010</v>
      </c>
      <c r="N642" t="s">
        <v>50</v>
      </c>
      <c r="O642">
        <v>1</v>
      </c>
      <c r="P642">
        <v>1584.12</v>
      </c>
      <c r="Q642" s="6">
        <v>0.2</v>
      </c>
      <c r="R642">
        <v>1267.3</v>
      </c>
      <c r="S642">
        <v>923.53</v>
      </c>
      <c r="T642">
        <v>343.77</v>
      </c>
      <c r="U642" t="s">
        <v>32</v>
      </c>
      <c r="V642" t="s">
        <v>33</v>
      </c>
      <c r="W642" s="8">
        <f t="shared" si="73"/>
        <v>0.2</v>
      </c>
      <c r="X642">
        <f t="shared" si="74"/>
        <v>1267.296</v>
      </c>
      <c r="Y642">
        <f t="shared" si="75"/>
        <v>343.76600000000008</v>
      </c>
      <c r="Z642" s="8">
        <f t="shared" si="76"/>
        <v>0.27125943741635739</v>
      </c>
      <c r="AA642" t="str">
        <f t="shared" si="77"/>
        <v>January</v>
      </c>
      <c r="AB642">
        <f t="shared" si="78"/>
        <v>2025</v>
      </c>
      <c r="AC642" t="str">
        <f t="shared" si="79"/>
        <v>Clean</v>
      </c>
    </row>
    <row r="643" spans="1:29">
      <c r="A643" t="s">
        <v>2011</v>
      </c>
      <c r="B643" s="2">
        <v>45756</v>
      </c>
      <c r="C643" s="2">
        <v>45761</v>
      </c>
      <c r="D643" s="3">
        <f t="shared" si="80"/>
        <v>5</v>
      </c>
      <c r="E643" t="s">
        <v>2012</v>
      </c>
      <c r="F643" t="s">
        <v>23</v>
      </c>
      <c r="G643" t="s">
        <v>24</v>
      </c>
      <c r="H643" t="s">
        <v>25</v>
      </c>
      <c r="I643" t="s">
        <v>350</v>
      </c>
      <c r="J643" t="s">
        <v>351</v>
      </c>
      <c r="K643" t="s">
        <v>41</v>
      </c>
      <c r="L643" t="s">
        <v>57</v>
      </c>
      <c r="M643" t="s">
        <v>2013</v>
      </c>
      <c r="N643" t="s">
        <v>44</v>
      </c>
      <c r="O643">
        <v>2</v>
      </c>
      <c r="P643">
        <v>3202.87</v>
      </c>
      <c r="Q643" s="7">
        <v>0</v>
      </c>
      <c r="R643">
        <v>6405.74</v>
      </c>
      <c r="S643">
        <v>3561.87</v>
      </c>
      <c r="T643">
        <v>2843.87</v>
      </c>
      <c r="U643" t="s">
        <v>32</v>
      </c>
      <c r="V643" t="s">
        <v>33</v>
      </c>
      <c r="W643" s="8">
        <f t="shared" ref="W643:W706" si="81">Q643</f>
        <v>0</v>
      </c>
      <c r="X643">
        <f t="shared" ref="X643:X706" si="82">O643*P643*(1-W643)</f>
        <v>6405.74</v>
      </c>
      <c r="Y643">
        <f t="shared" ref="Y643:Y706" si="83">X643-S643</f>
        <v>2843.87</v>
      </c>
      <c r="Z643" s="8">
        <f t="shared" ref="Z643:Z706" si="84">IF(X643=0,0,Y643/X643)</f>
        <v>0.44395651400150488</v>
      </c>
      <c r="AA643" t="str">
        <f t="shared" ref="AA643:AA706" si="85">TEXT(B643,"mmmm")</f>
        <v>April</v>
      </c>
      <c r="AB643">
        <f t="shared" ref="AB643:AB706" si="86">YEAR(B643)</f>
        <v>2025</v>
      </c>
      <c r="AC643" t="str">
        <f t="shared" ref="AC643:AC706" si="87">IF(Q643&lt;0,"Invalid",IF(D643&lt;0,"Warning","Clean"))</f>
        <v>Clean</v>
      </c>
    </row>
    <row r="644" spans="1:29">
      <c r="A644" t="s">
        <v>2014</v>
      </c>
      <c r="B644" s="2">
        <v>45533</v>
      </c>
      <c r="C644" s="2">
        <v>45535</v>
      </c>
      <c r="D644" s="3">
        <f t="shared" si="80"/>
        <v>2</v>
      </c>
      <c r="E644" t="s">
        <v>2015</v>
      </c>
      <c r="F644" t="s">
        <v>47</v>
      </c>
      <c r="G644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153</v>
      </c>
      <c r="M644" t="s">
        <v>2016</v>
      </c>
      <c r="N644" t="s">
        <v>31</v>
      </c>
      <c r="O644">
        <v>9</v>
      </c>
      <c r="P644">
        <v>1275.21</v>
      </c>
      <c r="Q644" s="6">
        <v>0.25</v>
      </c>
      <c r="R644">
        <v>8607.67</v>
      </c>
      <c r="S644">
        <v>5337.64</v>
      </c>
      <c r="T644">
        <v>3270.03</v>
      </c>
      <c r="U644" t="s">
        <v>155</v>
      </c>
      <c r="V644" t="s">
        <v>103</v>
      </c>
      <c r="W644" s="8">
        <f t="shared" si="81"/>
        <v>0.25</v>
      </c>
      <c r="X644">
        <f t="shared" si="82"/>
        <v>8607.6674999999996</v>
      </c>
      <c r="Y644">
        <f t="shared" si="83"/>
        <v>3270.0274999999992</v>
      </c>
      <c r="Z644" s="8">
        <f t="shared" si="84"/>
        <v>0.37989705108846261</v>
      </c>
      <c r="AA644" t="str">
        <f t="shared" si="85"/>
        <v>August</v>
      </c>
      <c r="AB644">
        <f t="shared" si="86"/>
        <v>2024</v>
      </c>
      <c r="AC644" t="str">
        <f t="shared" si="87"/>
        <v>Clean</v>
      </c>
    </row>
    <row r="645" spans="1:29">
      <c r="A645" t="s">
        <v>2017</v>
      </c>
      <c r="B645" s="2">
        <v>45414</v>
      </c>
      <c r="C645" s="2">
        <v>45335</v>
      </c>
      <c r="D645" s="5">
        <f t="shared" si="80"/>
        <v>-79</v>
      </c>
      <c r="E645" t="s">
        <v>719</v>
      </c>
      <c r="F645" t="s">
        <v>128</v>
      </c>
      <c r="G64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2018</v>
      </c>
      <c r="N645" t="s">
        <v>59</v>
      </c>
      <c r="O645">
        <v>8</v>
      </c>
      <c r="P645">
        <v>3871.18</v>
      </c>
      <c r="Q645" s="6">
        <v>0.15</v>
      </c>
      <c r="R645">
        <v>26324.02</v>
      </c>
      <c r="S645">
        <v>16277.96</v>
      </c>
      <c r="T645">
        <v>10046.06</v>
      </c>
      <c r="U645" t="s">
        <v>155</v>
      </c>
      <c r="V645" t="s">
        <v>103</v>
      </c>
      <c r="W645" s="8">
        <f t="shared" si="81"/>
        <v>0.15</v>
      </c>
      <c r="X645">
        <f t="shared" si="82"/>
        <v>26324.023999999998</v>
      </c>
      <c r="Y645">
        <f t="shared" si="83"/>
        <v>10046.063999999998</v>
      </c>
      <c r="Z645" s="8">
        <f t="shared" si="84"/>
        <v>0.3816310150758106</v>
      </c>
      <c r="AA645" t="str">
        <f t="shared" si="85"/>
        <v>May</v>
      </c>
      <c r="AB645">
        <f t="shared" si="86"/>
        <v>2024</v>
      </c>
      <c r="AC645" t="str">
        <f t="shared" si="87"/>
        <v>Warning</v>
      </c>
    </row>
    <row r="646" spans="1:29">
      <c r="A646" t="s">
        <v>2019</v>
      </c>
      <c r="B646" s="2">
        <v>45757</v>
      </c>
      <c r="C646" s="2">
        <v>45764</v>
      </c>
      <c r="D646" s="3">
        <f t="shared" si="80"/>
        <v>7</v>
      </c>
      <c r="E646" t="s">
        <v>2020</v>
      </c>
      <c r="F646" t="s">
        <v>71</v>
      </c>
      <c r="G646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2021</v>
      </c>
      <c r="N646" t="s">
        <v>59</v>
      </c>
      <c r="O646">
        <v>4</v>
      </c>
      <c r="P646">
        <v>3750.02</v>
      </c>
      <c r="Q646" s="6">
        <v>0.05</v>
      </c>
      <c r="R646">
        <v>14250.08</v>
      </c>
      <c r="S646">
        <v>10914.92</v>
      </c>
      <c r="T646">
        <v>3335.16</v>
      </c>
      <c r="U646" t="s">
        <v>32</v>
      </c>
      <c r="V646" t="s">
        <v>33</v>
      </c>
      <c r="W646" s="8">
        <f t="shared" si="81"/>
        <v>0.05</v>
      </c>
      <c r="X646">
        <f t="shared" si="82"/>
        <v>14250.075999999999</v>
      </c>
      <c r="Y646">
        <f t="shared" si="83"/>
        <v>3335.155999999999</v>
      </c>
      <c r="Z646" s="8">
        <f t="shared" si="84"/>
        <v>0.23404478684885605</v>
      </c>
      <c r="AA646" t="str">
        <f t="shared" si="85"/>
        <v>April</v>
      </c>
      <c r="AB646">
        <f t="shared" si="86"/>
        <v>2025</v>
      </c>
      <c r="AC646" t="str">
        <f t="shared" si="87"/>
        <v>Clean</v>
      </c>
    </row>
    <row r="647" spans="1:29">
      <c r="A647" t="s">
        <v>2022</v>
      </c>
      <c r="B647" s="2">
        <v>45295</v>
      </c>
      <c r="C647" s="2">
        <v>45536</v>
      </c>
      <c r="D647" s="3">
        <f t="shared" si="80"/>
        <v>241</v>
      </c>
      <c r="E647" t="s">
        <v>2023</v>
      </c>
      <c r="F647" t="s">
        <v>264</v>
      </c>
      <c r="G647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2024</v>
      </c>
      <c r="N647" t="s">
        <v>31</v>
      </c>
      <c r="O647">
        <v>6</v>
      </c>
      <c r="P647">
        <v>2423.61</v>
      </c>
      <c r="Q647" s="6">
        <v>0.1</v>
      </c>
      <c r="R647">
        <v>13087.49</v>
      </c>
      <c r="S647">
        <v>7608.89</v>
      </c>
      <c r="T647">
        <v>5133.22</v>
      </c>
      <c r="U647" t="s">
        <v>32</v>
      </c>
      <c r="V647" t="s">
        <v>33</v>
      </c>
      <c r="W647" s="8">
        <f t="shared" si="81"/>
        <v>0.1</v>
      </c>
      <c r="X647">
        <f t="shared" si="82"/>
        <v>13087.494000000001</v>
      </c>
      <c r="Y647">
        <f t="shared" si="83"/>
        <v>5478.6040000000003</v>
      </c>
      <c r="Z647" s="8">
        <f t="shared" si="84"/>
        <v>0.41861367806548755</v>
      </c>
      <c r="AA647" t="str">
        <f t="shared" si="85"/>
        <v>January</v>
      </c>
      <c r="AB647">
        <f t="shared" si="86"/>
        <v>2024</v>
      </c>
      <c r="AC647" t="str">
        <f t="shared" si="87"/>
        <v>Clean</v>
      </c>
    </row>
    <row r="648" spans="1:29">
      <c r="A648" t="s">
        <v>2025</v>
      </c>
      <c r="B648" s="2">
        <v>45553</v>
      </c>
      <c r="C648" s="2">
        <v>45559</v>
      </c>
      <c r="D648" s="3">
        <f t="shared" si="80"/>
        <v>6</v>
      </c>
      <c r="E648" t="s">
        <v>2026</v>
      </c>
      <c r="F648" t="s">
        <v>71</v>
      </c>
      <c r="G648" t="s">
        <v>37</v>
      </c>
      <c r="H648" t="s">
        <v>38</v>
      </c>
      <c r="I648" t="s">
        <v>228</v>
      </c>
      <c r="J648" t="s">
        <v>229</v>
      </c>
      <c r="K648" t="s">
        <v>74</v>
      </c>
      <c r="L648" t="s">
        <v>274</v>
      </c>
      <c r="M648" t="s">
        <v>2027</v>
      </c>
      <c r="N648" t="s">
        <v>50</v>
      </c>
      <c r="O648">
        <v>3</v>
      </c>
      <c r="P648">
        <v>729.14</v>
      </c>
      <c r="Q648" s="6">
        <v>0.25</v>
      </c>
      <c r="R648">
        <v>1640.57</v>
      </c>
      <c r="S648">
        <v>1136.98</v>
      </c>
      <c r="T648">
        <v>503.59</v>
      </c>
      <c r="U648" t="s">
        <v>32</v>
      </c>
      <c r="V648" t="s">
        <v>33</v>
      </c>
      <c r="W648" s="8">
        <f t="shared" si="81"/>
        <v>0.25</v>
      </c>
      <c r="X648">
        <f t="shared" si="82"/>
        <v>1640.5650000000001</v>
      </c>
      <c r="Y648">
        <f t="shared" si="83"/>
        <v>503.58500000000004</v>
      </c>
      <c r="Z648" s="8">
        <f t="shared" si="84"/>
        <v>0.30695827352162214</v>
      </c>
      <c r="AA648" t="str">
        <f t="shared" si="85"/>
        <v>September</v>
      </c>
      <c r="AB648">
        <f t="shared" si="86"/>
        <v>2024</v>
      </c>
      <c r="AC648" t="str">
        <f t="shared" si="87"/>
        <v>Clean</v>
      </c>
    </row>
    <row r="649" spans="1:29">
      <c r="A649" t="s">
        <v>2028</v>
      </c>
      <c r="B649" s="2">
        <v>45658</v>
      </c>
      <c r="C649" s="2">
        <v>45901</v>
      </c>
      <c r="D649" s="3">
        <f t="shared" si="80"/>
        <v>243</v>
      </c>
      <c r="E649" t="s">
        <v>2029</v>
      </c>
      <c r="F649" t="s">
        <v>141</v>
      </c>
      <c r="G649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2030</v>
      </c>
      <c r="N649" t="s">
        <v>50</v>
      </c>
      <c r="O649">
        <v>8</v>
      </c>
      <c r="P649">
        <v>2123.81</v>
      </c>
      <c r="Q649" s="6">
        <v>0.15</v>
      </c>
      <c r="R649">
        <v>14441.91</v>
      </c>
      <c r="S649">
        <v>10872.89</v>
      </c>
      <c r="T649">
        <v>3569.02</v>
      </c>
      <c r="U649" t="s">
        <v>32</v>
      </c>
      <c r="V649" t="s">
        <v>33</v>
      </c>
      <c r="W649" s="8">
        <f t="shared" si="81"/>
        <v>0.15</v>
      </c>
      <c r="X649">
        <f t="shared" si="82"/>
        <v>14441.907999999999</v>
      </c>
      <c r="Y649">
        <f t="shared" si="83"/>
        <v>3569.018</v>
      </c>
      <c r="Z649" s="8">
        <f t="shared" si="84"/>
        <v>0.24712925743606731</v>
      </c>
      <c r="AA649" t="str">
        <f t="shared" si="85"/>
        <v>January</v>
      </c>
      <c r="AB649">
        <f t="shared" si="86"/>
        <v>2025</v>
      </c>
      <c r="AC649" t="str">
        <f t="shared" si="87"/>
        <v>Clean</v>
      </c>
    </row>
    <row r="650" spans="1:29">
      <c r="A650" t="s">
        <v>2031</v>
      </c>
      <c r="B650" s="2">
        <v>45403</v>
      </c>
      <c r="C650" s="2">
        <v>45406</v>
      </c>
      <c r="D650" s="3">
        <f t="shared" si="80"/>
        <v>3</v>
      </c>
      <c r="E650" t="s">
        <v>2032</v>
      </c>
      <c r="F650" t="s">
        <v>79</v>
      </c>
      <c r="G650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2033</v>
      </c>
      <c r="N650" t="s">
        <v>44</v>
      </c>
      <c r="O650">
        <v>9</v>
      </c>
      <c r="P650">
        <v>703.59</v>
      </c>
      <c r="Q650" s="6">
        <v>0.2</v>
      </c>
      <c r="R650">
        <v>5065.8500000000004</v>
      </c>
      <c r="S650">
        <v>3517.23</v>
      </c>
      <c r="T650">
        <v>1548.62</v>
      </c>
      <c r="U650" t="s">
        <v>155</v>
      </c>
      <c r="V650" t="s">
        <v>103</v>
      </c>
      <c r="W650" s="8">
        <f t="shared" si="81"/>
        <v>0.2</v>
      </c>
      <c r="X650">
        <f t="shared" si="82"/>
        <v>5065.8480000000009</v>
      </c>
      <c r="Y650">
        <f t="shared" si="83"/>
        <v>1548.6180000000008</v>
      </c>
      <c r="Z650" s="8">
        <f t="shared" si="84"/>
        <v>0.30569768378364304</v>
      </c>
      <c r="AA650" t="str">
        <f t="shared" si="85"/>
        <v>April</v>
      </c>
      <c r="AB650">
        <f t="shared" si="86"/>
        <v>2024</v>
      </c>
      <c r="AC650" t="str">
        <f t="shared" si="87"/>
        <v>Clean</v>
      </c>
    </row>
    <row r="651" spans="1:29">
      <c r="A651" t="s">
        <v>2034</v>
      </c>
      <c r="B651" s="2">
        <v>45880</v>
      </c>
      <c r="C651" s="2">
        <v>45888</v>
      </c>
      <c r="D651" s="3">
        <f t="shared" si="80"/>
        <v>8</v>
      </c>
      <c r="E651" t="s">
        <v>2035</v>
      </c>
      <c r="F651" t="s">
        <v>264</v>
      </c>
      <c r="G651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2036</v>
      </c>
      <c r="N651" t="s">
        <v>59</v>
      </c>
      <c r="O651">
        <v>4</v>
      </c>
      <c r="P651">
        <v>2258.96</v>
      </c>
      <c r="Q651" s="6">
        <v>0.25</v>
      </c>
      <c r="R651">
        <v>6776.88</v>
      </c>
      <c r="S651">
        <v>3836.24</v>
      </c>
      <c r="T651">
        <v>2940.64</v>
      </c>
      <c r="U651" t="s">
        <v>32</v>
      </c>
      <c r="V651" t="s">
        <v>33</v>
      </c>
      <c r="W651" s="8">
        <f t="shared" si="81"/>
        <v>0.25</v>
      </c>
      <c r="X651">
        <f t="shared" si="82"/>
        <v>6776.88</v>
      </c>
      <c r="Y651">
        <f t="shared" si="83"/>
        <v>2940.6400000000003</v>
      </c>
      <c r="Z651" s="8">
        <f t="shared" si="84"/>
        <v>0.43392239496641527</v>
      </c>
      <c r="AA651" t="str">
        <f t="shared" si="85"/>
        <v>August</v>
      </c>
      <c r="AB651">
        <f t="shared" si="86"/>
        <v>2025</v>
      </c>
      <c r="AC651" t="str">
        <f t="shared" si="87"/>
        <v>Clean</v>
      </c>
    </row>
    <row r="652" spans="1:29">
      <c r="A652" t="s">
        <v>2037</v>
      </c>
      <c r="B652" s="2">
        <v>45395</v>
      </c>
      <c r="C652" s="2">
        <v>45403</v>
      </c>
      <c r="D652" s="3">
        <f t="shared" si="80"/>
        <v>8</v>
      </c>
      <c r="E652" t="s">
        <v>378</v>
      </c>
      <c r="F652" t="s">
        <v>128</v>
      </c>
      <c r="G652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2038</v>
      </c>
      <c r="N652" t="s">
        <v>44</v>
      </c>
      <c r="O652">
        <v>7</v>
      </c>
      <c r="P652">
        <v>2648.76</v>
      </c>
      <c r="Q652" s="6">
        <v>0.15</v>
      </c>
      <c r="R652">
        <v>15760.12</v>
      </c>
      <c r="S652">
        <v>9931.5300000000007</v>
      </c>
      <c r="T652">
        <v>5828.59</v>
      </c>
      <c r="U652" t="s">
        <v>155</v>
      </c>
      <c r="V652" t="s">
        <v>103</v>
      </c>
      <c r="W652" s="8">
        <f t="shared" si="81"/>
        <v>0.15</v>
      </c>
      <c r="X652">
        <f t="shared" si="82"/>
        <v>15760.121999999999</v>
      </c>
      <c r="Y652">
        <f t="shared" si="83"/>
        <v>5828.5919999999987</v>
      </c>
      <c r="Z652" s="8">
        <f t="shared" si="84"/>
        <v>0.36983165485647884</v>
      </c>
      <c r="AA652" t="str">
        <f t="shared" si="85"/>
        <v>April</v>
      </c>
      <c r="AB652">
        <f t="shared" si="86"/>
        <v>2024</v>
      </c>
      <c r="AC652" t="str">
        <f t="shared" si="87"/>
        <v>Clean</v>
      </c>
    </row>
    <row r="653" spans="1:29">
      <c r="A653" t="s">
        <v>2039</v>
      </c>
      <c r="B653" s="2">
        <v>45875</v>
      </c>
      <c r="C653" s="2">
        <v>45908</v>
      </c>
      <c r="D653" s="3">
        <f t="shared" si="80"/>
        <v>33</v>
      </c>
      <c r="E653" t="s">
        <v>2040</v>
      </c>
      <c r="F653" t="s">
        <v>36</v>
      </c>
      <c r="G653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2041</v>
      </c>
      <c r="N653" t="s">
        <v>31</v>
      </c>
      <c r="O653">
        <v>3</v>
      </c>
      <c r="P653">
        <v>598.54999999999995</v>
      </c>
      <c r="Q653" s="7">
        <v>0</v>
      </c>
      <c r="R653">
        <v>1795.65</v>
      </c>
      <c r="S653">
        <v>996.72</v>
      </c>
      <c r="T653">
        <v>798.93</v>
      </c>
      <c r="U653" t="s">
        <v>32</v>
      </c>
      <c r="V653" t="s">
        <v>33</v>
      </c>
      <c r="W653" s="8">
        <f t="shared" si="81"/>
        <v>0</v>
      </c>
      <c r="X653">
        <f t="shared" si="82"/>
        <v>1795.6499999999999</v>
      </c>
      <c r="Y653">
        <f t="shared" si="83"/>
        <v>798.92999999999984</v>
      </c>
      <c r="Z653" s="8">
        <f t="shared" si="84"/>
        <v>0.44492523598696843</v>
      </c>
      <c r="AA653" t="str">
        <f t="shared" si="85"/>
        <v>August</v>
      </c>
      <c r="AB653">
        <f t="shared" si="86"/>
        <v>2025</v>
      </c>
      <c r="AC653" t="str">
        <f t="shared" si="87"/>
        <v>Clean</v>
      </c>
    </row>
    <row r="654" spans="1:29">
      <c r="A654" t="s">
        <v>2042</v>
      </c>
      <c r="B654" s="2">
        <v>45733</v>
      </c>
      <c r="C654" s="2">
        <v>45737</v>
      </c>
      <c r="D654" s="3">
        <f t="shared" si="80"/>
        <v>4</v>
      </c>
      <c r="E654" t="s">
        <v>1686</v>
      </c>
      <c r="F654" t="s">
        <v>132</v>
      </c>
      <c r="G654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2043</v>
      </c>
      <c r="N654" t="s">
        <v>59</v>
      </c>
      <c r="O654">
        <v>5</v>
      </c>
      <c r="P654">
        <v>4320.59</v>
      </c>
      <c r="Q654" s="6">
        <v>0.15</v>
      </c>
      <c r="R654">
        <v>18362.509999999998</v>
      </c>
      <c r="S654">
        <v>11133.97</v>
      </c>
      <c r="T654">
        <v>7228.54</v>
      </c>
      <c r="U654" t="s">
        <v>32</v>
      </c>
      <c r="V654" t="s">
        <v>33</v>
      </c>
      <c r="W654" s="8">
        <f t="shared" si="81"/>
        <v>0.15</v>
      </c>
      <c r="X654">
        <f t="shared" si="82"/>
        <v>18362.5075</v>
      </c>
      <c r="Y654">
        <f t="shared" si="83"/>
        <v>7228.5375000000004</v>
      </c>
      <c r="Z654" s="8">
        <f t="shared" si="84"/>
        <v>0.39365742941153326</v>
      </c>
      <c r="AA654" t="str">
        <f t="shared" si="85"/>
        <v>March</v>
      </c>
      <c r="AB654">
        <f t="shared" si="86"/>
        <v>2025</v>
      </c>
      <c r="AC654" t="str">
        <f t="shared" si="87"/>
        <v>Clean</v>
      </c>
    </row>
    <row r="655" spans="1:29">
      <c r="A655" t="s">
        <v>2044</v>
      </c>
      <c r="B655" s="2">
        <v>45751</v>
      </c>
      <c r="C655" s="2">
        <v>45754</v>
      </c>
      <c r="D655" s="3">
        <f t="shared" si="80"/>
        <v>3</v>
      </c>
      <c r="E655" t="s">
        <v>2045</v>
      </c>
      <c r="F655" t="s">
        <v>114</v>
      </c>
      <c r="G655" t="s">
        <v>37</v>
      </c>
      <c r="H655" t="s">
        <v>54</v>
      </c>
      <c r="I655" t="s">
        <v>247</v>
      </c>
      <c r="J655" t="s">
        <v>248</v>
      </c>
      <c r="K655" t="s">
        <v>74</v>
      </c>
      <c r="L655" t="s">
        <v>80</v>
      </c>
      <c r="M655" t="s">
        <v>2046</v>
      </c>
      <c r="N655" t="s">
        <v>31</v>
      </c>
      <c r="O655">
        <v>7</v>
      </c>
      <c r="P655">
        <v>4457.93</v>
      </c>
      <c r="Q655" s="6">
        <v>0.15</v>
      </c>
      <c r="R655">
        <v>26524.68</v>
      </c>
      <c r="S655">
        <v>20574.3</v>
      </c>
      <c r="T655">
        <v>5950.38</v>
      </c>
      <c r="U655" t="s">
        <v>32</v>
      </c>
      <c r="V655" t="s">
        <v>33</v>
      </c>
      <c r="W655" s="8">
        <f t="shared" si="81"/>
        <v>0.15</v>
      </c>
      <c r="X655">
        <f t="shared" si="82"/>
        <v>26524.683500000003</v>
      </c>
      <c r="Y655">
        <f t="shared" si="83"/>
        <v>5950.3835000000036</v>
      </c>
      <c r="Z655" s="8">
        <f t="shared" si="84"/>
        <v>0.22433381721595294</v>
      </c>
      <c r="AA655" t="str">
        <f t="shared" si="85"/>
        <v>April</v>
      </c>
      <c r="AB655">
        <f t="shared" si="86"/>
        <v>2025</v>
      </c>
      <c r="AC655" t="str">
        <f t="shared" si="87"/>
        <v>Clean</v>
      </c>
    </row>
    <row r="656" spans="1:29">
      <c r="A656" t="s">
        <v>2047</v>
      </c>
      <c r="B656" s="2">
        <v>45942</v>
      </c>
      <c r="C656" s="2">
        <v>45946</v>
      </c>
      <c r="D656" s="3">
        <f t="shared" si="80"/>
        <v>4</v>
      </c>
      <c r="E656" t="s">
        <v>925</v>
      </c>
      <c r="F656" t="s">
        <v>162</v>
      </c>
      <c r="G656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274</v>
      </c>
      <c r="M656" t="s">
        <v>2048</v>
      </c>
      <c r="N656" t="s">
        <v>44</v>
      </c>
      <c r="O656">
        <v>1</v>
      </c>
      <c r="P656">
        <v>2570.06</v>
      </c>
      <c r="Q656" s="6">
        <v>0.2</v>
      </c>
      <c r="R656">
        <v>2056.0500000000002</v>
      </c>
      <c r="S656">
        <v>1662.39</v>
      </c>
      <c r="T656">
        <v>393.66</v>
      </c>
      <c r="U656" t="s">
        <v>32</v>
      </c>
      <c r="V656" t="s">
        <v>33</v>
      </c>
      <c r="W656" s="8">
        <f t="shared" si="81"/>
        <v>0.2</v>
      </c>
      <c r="X656">
        <f t="shared" si="82"/>
        <v>2056.0480000000002</v>
      </c>
      <c r="Y656">
        <f t="shared" si="83"/>
        <v>393.65800000000013</v>
      </c>
      <c r="Z656" s="8">
        <f t="shared" si="84"/>
        <v>0.19146342886936496</v>
      </c>
      <c r="AA656" t="str">
        <f t="shared" si="85"/>
        <v>October</v>
      </c>
      <c r="AB656">
        <f t="shared" si="86"/>
        <v>2025</v>
      </c>
      <c r="AC656" t="str">
        <f t="shared" si="87"/>
        <v>Clean</v>
      </c>
    </row>
    <row r="657" spans="1:29">
      <c r="A657" t="s">
        <v>2049</v>
      </c>
      <c r="B657" s="2">
        <v>45895</v>
      </c>
      <c r="C657" s="2">
        <v>45895</v>
      </c>
      <c r="D657" s="3">
        <f t="shared" si="80"/>
        <v>0</v>
      </c>
      <c r="E657" t="s">
        <v>2050</v>
      </c>
      <c r="F657" t="s">
        <v>79</v>
      </c>
      <c r="G657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2051</v>
      </c>
      <c r="N657" t="s">
        <v>59</v>
      </c>
      <c r="O657">
        <v>4</v>
      </c>
      <c r="P657">
        <v>2151.8200000000002</v>
      </c>
      <c r="Q657" s="7">
        <v>0</v>
      </c>
      <c r="R657">
        <v>8607.2800000000007</v>
      </c>
      <c r="S657">
        <v>5124.01</v>
      </c>
      <c r="T657">
        <v>3483.27</v>
      </c>
      <c r="U657" t="s">
        <v>32</v>
      </c>
      <c r="V657" t="s">
        <v>33</v>
      </c>
      <c r="W657" s="8">
        <f t="shared" si="81"/>
        <v>0</v>
      </c>
      <c r="X657">
        <f t="shared" si="82"/>
        <v>8607.2800000000007</v>
      </c>
      <c r="Y657">
        <f t="shared" si="83"/>
        <v>3483.2700000000004</v>
      </c>
      <c r="Z657" s="8">
        <f t="shared" si="84"/>
        <v>0.40468882155570635</v>
      </c>
      <c r="AA657" t="str">
        <f t="shared" si="85"/>
        <v>August</v>
      </c>
      <c r="AB657">
        <f t="shared" si="86"/>
        <v>2025</v>
      </c>
      <c r="AC657" t="str">
        <f t="shared" si="87"/>
        <v>Clean</v>
      </c>
    </row>
    <row r="658" spans="1:29">
      <c r="A658" t="s">
        <v>2052</v>
      </c>
      <c r="B658" s="2">
        <v>45478</v>
      </c>
      <c r="C658" s="2">
        <v>45426</v>
      </c>
      <c r="D658" s="5">
        <f t="shared" si="80"/>
        <v>-52</v>
      </c>
      <c r="E658" t="s">
        <v>2053</v>
      </c>
      <c r="F658" t="s">
        <v>79</v>
      </c>
      <c r="G658" t="s">
        <v>37</v>
      </c>
      <c r="H658" t="s">
        <v>25</v>
      </c>
      <c r="I658" t="s">
        <v>236</v>
      </c>
      <c r="J658" t="s">
        <v>237</v>
      </c>
      <c r="K658" t="s">
        <v>74</v>
      </c>
      <c r="L658" t="s">
        <v>274</v>
      </c>
      <c r="M658" t="s">
        <v>2054</v>
      </c>
      <c r="N658" t="s">
        <v>44</v>
      </c>
      <c r="O658">
        <v>4</v>
      </c>
      <c r="P658">
        <v>2751.1</v>
      </c>
      <c r="Q658" s="7">
        <v>-0.05</v>
      </c>
      <c r="R658">
        <v>9903.9599999999991</v>
      </c>
      <c r="S658">
        <v>7696.28</v>
      </c>
      <c r="T658">
        <v>2207.6799999999998</v>
      </c>
      <c r="U658" t="s">
        <v>32</v>
      </c>
      <c r="V658" t="s">
        <v>33</v>
      </c>
      <c r="W658" s="8">
        <f t="shared" si="81"/>
        <v>-0.05</v>
      </c>
      <c r="X658">
        <f t="shared" si="82"/>
        <v>11554.62</v>
      </c>
      <c r="Y658">
        <f t="shared" si="83"/>
        <v>3858.3400000000011</v>
      </c>
      <c r="Z658" s="8">
        <f t="shared" si="84"/>
        <v>0.33392184251840396</v>
      </c>
      <c r="AA658" t="str">
        <f t="shared" si="85"/>
        <v>July</v>
      </c>
      <c r="AB658">
        <f t="shared" si="86"/>
        <v>2024</v>
      </c>
      <c r="AC658" t="str">
        <f t="shared" si="87"/>
        <v>Invalid</v>
      </c>
    </row>
    <row r="659" spans="1:29">
      <c r="A659" t="s">
        <v>2055</v>
      </c>
      <c r="B659" s="2">
        <v>45876</v>
      </c>
      <c r="C659" s="2">
        <v>45879</v>
      </c>
      <c r="D659" s="3">
        <f t="shared" si="80"/>
        <v>3</v>
      </c>
      <c r="E659" t="s">
        <v>2056</v>
      </c>
      <c r="F659" t="s">
        <v>89</v>
      </c>
      <c r="G659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2057</v>
      </c>
      <c r="N659" t="s">
        <v>31</v>
      </c>
      <c r="O659">
        <v>1</v>
      </c>
      <c r="P659">
        <v>2541.25</v>
      </c>
      <c r="Q659" s="6">
        <v>0.2</v>
      </c>
      <c r="R659">
        <v>2033</v>
      </c>
      <c r="S659">
        <v>1291.4100000000001</v>
      </c>
      <c r="T659">
        <v>741.59</v>
      </c>
      <c r="U659" t="s">
        <v>32</v>
      </c>
      <c r="V659" t="s">
        <v>33</v>
      </c>
      <c r="W659" s="8">
        <f t="shared" si="81"/>
        <v>0.2</v>
      </c>
      <c r="X659">
        <f t="shared" si="82"/>
        <v>2033</v>
      </c>
      <c r="Y659">
        <f t="shared" si="83"/>
        <v>741.58999999999992</v>
      </c>
      <c r="Z659" s="8">
        <f t="shared" si="84"/>
        <v>0.36477619281849477</v>
      </c>
      <c r="AA659" t="str">
        <f t="shared" si="85"/>
        <v>August</v>
      </c>
      <c r="AB659">
        <f t="shared" si="86"/>
        <v>2025</v>
      </c>
      <c r="AC659" t="str">
        <f t="shared" si="87"/>
        <v>Clean</v>
      </c>
    </row>
    <row r="660" spans="1:29">
      <c r="A660" t="s">
        <v>2058</v>
      </c>
      <c r="B660" s="2">
        <v>45817</v>
      </c>
      <c r="C660" s="2">
        <v>45820</v>
      </c>
      <c r="D660" s="3">
        <f t="shared" si="80"/>
        <v>3</v>
      </c>
      <c r="E660" t="s">
        <v>2059</v>
      </c>
      <c r="F660" t="s">
        <v>132</v>
      </c>
      <c r="G660" t="s">
        <v>24</v>
      </c>
      <c r="H660" s="4" t="s">
        <v>2760</v>
      </c>
      <c r="I660" t="s">
        <v>145</v>
      </c>
      <c r="J660" t="s">
        <v>146</v>
      </c>
      <c r="K660" t="s">
        <v>28</v>
      </c>
      <c r="L660" t="s">
        <v>48</v>
      </c>
      <c r="M660" t="s">
        <v>2060</v>
      </c>
      <c r="N660" t="s">
        <v>50</v>
      </c>
      <c r="O660">
        <v>7</v>
      </c>
      <c r="P660">
        <v>2852.42</v>
      </c>
      <c r="Q660" s="7">
        <v>0</v>
      </c>
      <c r="R660">
        <v>19966.939999999999</v>
      </c>
      <c r="S660">
        <v>12690.83</v>
      </c>
      <c r="T660">
        <v>7276.11</v>
      </c>
      <c r="U660" t="s">
        <v>102</v>
      </c>
      <c r="V660" t="s">
        <v>68</v>
      </c>
      <c r="W660" s="8">
        <f t="shared" si="81"/>
        <v>0</v>
      </c>
      <c r="X660">
        <f t="shared" si="82"/>
        <v>19966.940000000002</v>
      </c>
      <c r="Y660">
        <f t="shared" si="83"/>
        <v>7276.1100000000024</v>
      </c>
      <c r="Z660" s="8">
        <f t="shared" si="84"/>
        <v>0.36440786620283339</v>
      </c>
      <c r="AA660" t="str">
        <f t="shared" si="85"/>
        <v>June</v>
      </c>
      <c r="AB660">
        <f t="shared" si="86"/>
        <v>2025</v>
      </c>
      <c r="AC660" t="str">
        <f t="shared" si="87"/>
        <v>Clean</v>
      </c>
    </row>
    <row r="661" spans="1:29">
      <c r="A661" t="s">
        <v>2061</v>
      </c>
      <c r="B661" s="2">
        <v>45678</v>
      </c>
      <c r="C661" s="2">
        <v>45679</v>
      </c>
      <c r="D661" s="3">
        <f t="shared" si="80"/>
        <v>1</v>
      </c>
      <c r="E661" t="s">
        <v>2062</v>
      </c>
      <c r="F661" t="s">
        <v>162</v>
      </c>
      <c r="G661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2063</v>
      </c>
      <c r="N661" t="s">
        <v>31</v>
      </c>
      <c r="O661">
        <v>2</v>
      </c>
      <c r="P661">
        <v>444.31</v>
      </c>
      <c r="Q661" s="6">
        <v>0.2</v>
      </c>
      <c r="R661">
        <v>710.9</v>
      </c>
      <c r="S661">
        <v>513.88</v>
      </c>
      <c r="T661">
        <v>197.02</v>
      </c>
      <c r="U661" t="s">
        <v>102</v>
      </c>
      <c r="V661" t="s">
        <v>68</v>
      </c>
      <c r="W661" s="8">
        <f t="shared" si="81"/>
        <v>0.2</v>
      </c>
      <c r="X661">
        <f t="shared" si="82"/>
        <v>710.89600000000007</v>
      </c>
      <c r="Y661">
        <f t="shared" si="83"/>
        <v>197.01600000000008</v>
      </c>
      <c r="Z661" s="8">
        <f t="shared" si="84"/>
        <v>0.27713758411919615</v>
      </c>
      <c r="AA661" t="str">
        <f t="shared" si="85"/>
        <v>January</v>
      </c>
      <c r="AB661">
        <f t="shared" si="86"/>
        <v>2025</v>
      </c>
      <c r="AC661" t="str">
        <f t="shared" si="87"/>
        <v>Clean</v>
      </c>
    </row>
    <row r="662" spans="1:29">
      <c r="A662" t="s">
        <v>2064</v>
      </c>
      <c r="B662" s="2">
        <v>45853</v>
      </c>
      <c r="C662" s="2">
        <v>45853</v>
      </c>
      <c r="D662" s="3">
        <f t="shared" si="80"/>
        <v>0</v>
      </c>
      <c r="E662" t="s">
        <v>2065</v>
      </c>
      <c r="F662" t="s">
        <v>53</v>
      </c>
      <c r="G662" t="s">
        <v>37</v>
      </c>
      <c r="H662" t="s">
        <v>38</v>
      </c>
      <c r="I662" t="s">
        <v>228</v>
      </c>
      <c r="J662" t="s">
        <v>229</v>
      </c>
      <c r="K662" t="s">
        <v>74</v>
      </c>
      <c r="L662" t="s">
        <v>171</v>
      </c>
      <c r="M662" t="s">
        <v>2066</v>
      </c>
      <c r="N662" t="s">
        <v>44</v>
      </c>
      <c r="O662">
        <v>4</v>
      </c>
      <c r="P662">
        <v>4442.91</v>
      </c>
      <c r="Q662" s="6">
        <v>0.1</v>
      </c>
      <c r="R662">
        <v>15994.48</v>
      </c>
      <c r="S662">
        <v>9224.2800000000007</v>
      </c>
      <c r="T662">
        <v>6770.2</v>
      </c>
      <c r="U662" t="s">
        <v>32</v>
      </c>
      <c r="V662" t="s">
        <v>33</v>
      </c>
      <c r="W662" s="8">
        <f t="shared" si="81"/>
        <v>0.1</v>
      </c>
      <c r="X662">
        <f t="shared" si="82"/>
        <v>15994.476000000001</v>
      </c>
      <c r="Y662">
        <f t="shared" si="83"/>
        <v>6770.1959999999999</v>
      </c>
      <c r="Z662" s="8">
        <f t="shared" si="84"/>
        <v>0.42328338858991066</v>
      </c>
      <c r="AA662" t="str">
        <f t="shared" si="85"/>
        <v>July</v>
      </c>
      <c r="AB662">
        <f t="shared" si="86"/>
        <v>2025</v>
      </c>
      <c r="AC662" t="str">
        <f t="shared" si="87"/>
        <v>Clean</v>
      </c>
    </row>
    <row r="663" spans="1:29">
      <c r="A663" t="s">
        <v>2067</v>
      </c>
      <c r="B663" s="2">
        <v>45429</v>
      </c>
      <c r="C663" s="2">
        <v>45434</v>
      </c>
      <c r="D663" s="3">
        <f t="shared" si="80"/>
        <v>5</v>
      </c>
      <c r="E663" t="s">
        <v>2068</v>
      </c>
      <c r="F663" t="s">
        <v>132</v>
      </c>
      <c r="G663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274</v>
      </c>
      <c r="M663" t="s">
        <v>2069</v>
      </c>
      <c r="N663" t="s">
        <v>31</v>
      </c>
      <c r="O663">
        <v>7</v>
      </c>
      <c r="P663">
        <v>232.5</v>
      </c>
      <c r="Q663" s="7">
        <v>0</v>
      </c>
      <c r="R663">
        <v>1627.5</v>
      </c>
      <c r="S663">
        <v>939.9</v>
      </c>
      <c r="T663">
        <v>687.6</v>
      </c>
      <c r="U663" t="s">
        <v>32</v>
      </c>
      <c r="V663" t="s">
        <v>33</v>
      </c>
      <c r="W663" s="8">
        <f t="shared" si="81"/>
        <v>0</v>
      </c>
      <c r="X663">
        <f t="shared" si="82"/>
        <v>1627.5</v>
      </c>
      <c r="Y663">
        <f t="shared" si="83"/>
        <v>687.6</v>
      </c>
      <c r="Z663" s="8">
        <f t="shared" si="84"/>
        <v>0.4224884792626728</v>
      </c>
      <c r="AA663" t="str">
        <f t="shared" si="85"/>
        <v>May</v>
      </c>
      <c r="AB663">
        <f t="shared" si="86"/>
        <v>2024</v>
      </c>
      <c r="AC663" t="str">
        <f t="shared" si="87"/>
        <v>Clean</v>
      </c>
    </row>
    <row r="664" spans="1:29">
      <c r="A664" t="s">
        <v>2070</v>
      </c>
      <c r="B664" s="2">
        <v>45305</v>
      </c>
      <c r="C664" s="2">
        <v>45309</v>
      </c>
      <c r="D664" s="3">
        <f t="shared" si="80"/>
        <v>4</v>
      </c>
      <c r="E664" t="s">
        <v>2071</v>
      </c>
      <c r="F664" t="s">
        <v>36</v>
      </c>
      <c r="G664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274</v>
      </c>
      <c r="M664" t="s">
        <v>2072</v>
      </c>
      <c r="N664" t="s">
        <v>44</v>
      </c>
      <c r="O664">
        <v>6</v>
      </c>
      <c r="P664">
        <v>1784.8</v>
      </c>
      <c r="Q664" s="6">
        <v>0.1</v>
      </c>
      <c r="R664">
        <v>9637.92</v>
      </c>
      <c r="S664">
        <v>7329.29</v>
      </c>
      <c r="T664">
        <v>2308.63</v>
      </c>
      <c r="U664" t="s">
        <v>32</v>
      </c>
      <c r="V664" t="s">
        <v>33</v>
      </c>
      <c r="W664" s="8">
        <f t="shared" si="81"/>
        <v>0.1</v>
      </c>
      <c r="X664">
        <f t="shared" si="82"/>
        <v>9637.92</v>
      </c>
      <c r="Y664">
        <f t="shared" si="83"/>
        <v>2308.63</v>
      </c>
      <c r="Z664" s="8">
        <f t="shared" si="84"/>
        <v>0.2395361239769577</v>
      </c>
      <c r="AA664" t="str">
        <f t="shared" si="85"/>
        <v>January</v>
      </c>
      <c r="AB664">
        <f t="shared" si="86"/>
        <v>2024</v>
      </c>
      <c r="AC664" t="str">
        <f t="shared" si="87"/>
        <v>Clean</v>
      </c>
    </row>
    <row r="665" spans="1:29">
      <c r="A665" t="s">
        <v>2073</v>
      </c>
      <c r="B665" s="2">
        <v>45414</v>
      </c>
      <c r="C665" s="2">
        <v>45420</v>
      </c>
      <c r="D665" s="3">
        <f t="shared" si="80"/>
        <v>6</v>
      </c>
      <c r="E665" t="s">
        <v>2074</v>
      </c>
      <c r="F665" t="s">
        <v>118</v>
      </c>
      <c r="G665" t="s">
        <v>95</v>
      </c>
      <c r="H665" t="s">
        <v>38</v>
      </c>
      <c r="I665" t="s">
        <v>228</v>
      </c>
      <c r="J665" t="s">
        <v>229</v>
      </c>
      <c r="K665" t="s">
        <v>74</v>
      </c>
      <c r="L665" t="s">
        <v>80</v>
      </c>
      <c r="M665" t="s">
        <v>2075</v>
      </c>
      <c r="N665" t="s">
        <v>31</v>
      </c>
      <c r="O665">
        <v>2</v>
      </c>
      <c r="P665">
        <v>3185.01</v>
      </c>
      <c r="Q665" s="7">
        <v>-0.24</v>
      </c>
      <c r="R665">
        <v>4777.5200000000004</v>
      </c>
      <c r="S665">
        <v>3152.98</v>
      </c>
      <c r="T665">
        <v>1624.54</v>
      </c>
      <c r="U665" t="s">
        <v>32</v>
      </c>
      <c r="V665" t="s">
        <v>33</v>
      </c>
      <c r="W665" s="8">
        <f t="shared" si="81"/>
        <v>-0.24</v>
      </c>
      <c r="X665">
        <f t="shared" si="82"/>
        <v>7898.8248000000003</v>
      </c>
      <c r="Y665">
        <f t="shared" si="83"/>
        <v>4745.8448000000008</v>
      </c>
      <c r="Z665" s="8">
        <f t="shared" si="84"/>
        <v>0.60082922715287979</v>
      </c>
      <c r="AA665" t="str">
        <f t="shared" si="85"/>
        <v>May</v>
      </c>
      <c r="AB665">
        <f t="shared" si="86"/>
        <v>2024</v>
      </c>
      <c r="AC665" t="str">
        <f t="shared" si="87"/>
        <v>Invalid</v>
      </c>
    </row>
    <row r="666" spans="1:29">
      <c r="A666" t="s">
        <v>2076</v>
      </c>
      <c r="B666" s="2">
        <v>45633</v>
      </c>
      <c r="C666" s="2">
        <v>45636</v>
      </c>
      <c r="D666" s="3">
        <f t="shared" si="80"/>
        <v>3</v>
      </c>
      <c r="E666" t="s">
        <v>2077</v>
      </c>
      <c r="F666" t="s">
        <v>36</v>
      </c>
      <c r="G666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2078</v>
      </c>
      <c r="N666" t="s">
        <v>59</v>
      </c>
      <c r="O666">
        <v>1</v>
      </c>
      <c r="P666">
        <v>1908.83</v>
      </c>
      <c r="Q666" s="6">
        <v>0.2</v>
      </c>
      <c r="R666">
        <v>1527.06</v>
      </c>
      <c r="S666">
        <v>1055.8900000000001</v>
      </c>
      <c r="T666">
        <v>471.17</v>
      </c>
      <c r="U666" t="s">
        <v>32</v>
      </c>
      <c r="V666" t="s">
        <v>33</v>
      </c>
      <c r="W666" s="8">
        <f t="shared" si="81"/>
        <v>0.2</v>
      </c>
      <c r="X666">
        <f t="shared" si="82"/>
        <v>1527.0640000000001</v>
      </c>
      <c r="Y666">
        <f t="shared" si="83"/>
        <v>471.17399999999998</v>
      </c>
      <c r="Z666" s="8">
        <f t="shared" si="84"/>
        <v>0.30854895407134209</v>
      </c>
      <c r="AA666" t="str">
        <f t="shared" si="85"/>
        <v>December</v>
      </c>
      <c r="AB666">
        <f t="shared" si="86"/>
        <v>2024</v>
      </c>
      <c r="AC666" t="str">
        <f t="shared" si="87"/>
        <v>Clean</v>
      </c>
    </row>
    <row r="667" spans="1:29">
      <c r="A667" t="s">
        <v>2079</v>
      </c>
      <c r="B667" s="2">
        <v>45670</v>
      </c>
      <c r="C667" s="2">
        <v>45670</v>
      </c>
      <c r="D667" s="3">
        <f t="shared" si="80"/>
        <v>0</v>
      </c>
      <c r="E667" t="s">
        <v>2080</v>
      </c>
      <c r="F667" t="s">
        <v>118</v>
      </c>
      <c r="G667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2081</v>
      </c>
      <c r="N667" t="s">
        <v>59</v>
      </c>
      <c r="O667">
        <v>3</v>
      </c>
      <c r="P667">
        <v>2110.52</v>
      </c>
      <c r="Q667" s="6">
        <v>0.1</v>
      </c>
      <c r="R667">
        <v>5698.4</v>
      </c>
      <c r="S667">
        <v>3640.89</v>
      </c>
      <c r="T667">
        <v>2057.5100000000002</v>
      </c>
      <c r="U667" t="s">
        <v>155</v>
      </c>
      <c r="V667" t="s">
        <v>68</v>
      </c>
      <c r="W667" s="8">
        <f t="shared" si="81"/>
        <v>0.1</v>
      </c>
      <c r="X667">
        <f t="shared" si="82"/>
        <v>5698.4039999999995</v>
      </c>
      <c r="Y667">
        <f t="shared" si="83"/>
        <v>2057.5139999999997</v>
      </c>
      <c r="Z667" s="8">
        <f t="shared" si="84"/>
        <v>0.36106846759197836</v>
      </c>
      <c r="AA667" t="str">
        <f t="shared" si="85"/>
        <v>January</v>
      </c>
      <c r="AB667">
        <f t="shared" si="86"/>
        <v>2025</v>
      </c>
      <c r="AC667" t="str">
        <f t="shared" si="87"/>
        <v>Clean</v>
      </c>
    </row>
    <row r="668" spans="1:29">
      <c r="A668" t="s">
        <v>2082</v>
      </c>
      <c r="B668" s="2">
        <v>45464</v>
      </c>
      <c r="C668" s="2">
        <v>45469</v>
      </c>
      <c r="D668" s="3">
        <f t="shared" si="80"/>
        <v>5</v>
      </c>
      <c r="E668" t="s">
        <v>2083</v>
      </c>
      <c r="F668" t="s">
        <v>141</v>
      </c>
      <c r="G668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2084</v>
      </c>
      <c r="N668" t="s">
        <v>44</v>
      </c>
      <c r="O668">
        <v>1</v>
      </c>
      <c r="P668">
        <v>279.83</v>
      </c>
      <c r="Q668" s="6">
        <v>0.05</v>
      </c>
      <c r="R668">
        <v>265.83999999999997</v>
      </c>
      <c r="S668">
        <v>223.49</v>
      </c>
      <c r="T668">
        <v>42.35</v>
      </c>
      <c r="U668" t="s">
        <v>32</v>
      </c>
      <c r="V668" t="s">
        <v>33</v>
      </c>
      <c r="W668" s="8">
        <f t="shared" si="81"/>
        <v>0.05</v>
      </c>
      <c r="X668">
        <f t="shared" si="82"/>
        <v>265.83849999999995</v>
      </c>
      <c r="Y668">
        <f t="shared" si="83"/>
        <v>42.348499999999945</v>
      </c>
      <c r="Z668" s="8">
        <f t="shared" si="84"/>
        <v>0.15930160605028976</v>
      </c>
      <c r="AA668" t="str">
        <f t="shared" si="85"/>
        <v>June</v>
      </c>
      <c r="AB668">
        <f t="shared" si="86"/>
        <v>2024</v>
      </c>
      <c r="AC668" t="str">
        <f t="shared" si="87"/>
        <v>Clean</v>
      </c>
    </row>
    <row r="669" spans="1:29">
      <c r="A669" t="s">
        <v>2085</v>
      </c>
      <c r="B669" s="2">
        <v>45797</v>
      </c>
      <c r="C669" s="2">
        <v>45804</v>
      </c>
      <c r="D669" s="3">
        <f t="shared" si="80"/>
        <v>7</v>
      </c>
      <c r="E669" t="s">
        <v>2086</v>
      </c>
      <c r="F669" t="s">
        <v>162</v>
      </c>
      <c r="G669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274</v>
      </c>
      <c r="M669" t="s">
        <v>2087</v>
      </c>
      <c r="N669" t="s">
        <v>59</v>
      </c>
      <c r="O669">
        <v>1</v>
      </c>
      <c r="P669">
        <v>3959.14</v>
      </c>
      <c r="Q669" s="7">
        <v>0</v>
      </c>
      <c r="R669">
        <v>3959.14</v>
      </c>
      <c r="S669">
        <v>3239.53</v>
      </c>
      <c r="T669">
        <v>719.61</v>
      </c>
      <c r="U669" t="s">
        <v>111</v>
      </c>
      <c r="V669" t="s">
        <v>103</v>
      </c>
      <c r="W669" s="8">
        <f t="shared" si="81"/>
        <v>0</v>
      </c>
      <c r="X669">
        <f t="shared" si="82"/>
        <v>3959.14</v>
      </c>
      <c r="Y669">
        <f t="shared" si="83"/>
        <v>719.60999999999967</v>
      </c>
      <c r="Z669" s="8">
        <f t="shared" si="84"/>
        <v>0.18175916992074029</v>
      </c>
      <c r="AA669" t="str">
        <f t="shared" si="85"/>
        <v>May</v>
      </c>
      <c r="AB669">
        <f t="shared" si="86"/>
        <v>2025</v>
      </c>
      <c r="AC669" t="str">
        <f t="shared" si="87"/>
        <v>Clean</v>
      </c>
    </row>
    <row r="670" spans="1:29">
      <c r="A670" t="s">
        <v>2088</v>
      </c>
      <c r="B670" s="2">
        <v>45617</v>
      </c>
      <c r="C670" s="2">
        <v>45619</v>
      </c>
      <c r="D670" s="3">
        <f t="shared" si="80"/>
        <v>2</v>
      </c>
      <c r="E670" t="s">
        <v>2089</v>
      </c>
      <c r="F670" t="s">
        <v>36</v>
      </c>
      <c r="G670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2090</v>
      </c>
      <c r="N670" t="s">
        <v>31</v>
      </c>
      <c r="O670">
        <v>5</v>
      </c>
      <c r="P670">
        <v>600.46</v>
      </c>
      <c r="Q670" s="6">
        <v>0.2</v>
      </c>
      <c r="R670">
        <v>2401.84</v>
      </c>
      <c r="S670">
        <v>1873.11</v>
      </c>
      <c r="T670">
        <v>528.73</v>
      </c>
      <c r="U670" t="s">
        <v>32</v>
      </c>
      <c r="V670" t="s">
        <v>33</v>
      </c>
      <c r="W670" s="8">
        <f t="shared" si="81"/>
        <v>0.2</v>
      </c>
      <c r="X670">
        <f t="shared" si="82"/>
        <v>2401.84</v>
      </c>
      <c r="Y670">
        <f t="shared" si="83"/>
        <v>528.73000000000025</v>
      </c>
      <c r="Z670" s="8">
        <f t="shared" si="84"/>
        <v>0.22013539619624964</v>
      </c>
      <c r="AA670" t="str">
        <f t="shared" si="85"/>
        <v>November</v>
      </c>
      <c r="AB670">
        <f t="shared" si="86"/>
        <v>2024</v>
      </c>
      <c r="AC670" t="str">
        <f t="shared" si="87"/>
        <v>Clean</v>
      </c>
    </row>
    <row r="671" spans="1:29">
      <c r="A671" t="s">
        <v>2091</v>
      </c>
      <c r="B671" s="2">
        <v>45375</v>
      </c>
      <c r="C671" s="2">
        <v>45383</v>
      </c>
      <c r="D671" s="3">
        <f t="shared" si="80"/>
        <v>8</v>
      </c>
      <c r="E671" t="s">
        <v>2092</v>
      </c>
      <c r="F671" t="s">
        <v>62</v>
      </c>
      <c r="G671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2093</v>
      </c>
      <c r="N671" t="s">
        <v>31</v>
      </c>
      <c r="O671">
        <v>4</v>
      </c>
      <c r="P671">
        <v>1700.72</v>
      </c>
      <c r="Q671" s="6">
        <v>0.25</v>
      </c>
      <c r="R671">
        <v>5102.16</v>
      </c>
      <c r="S671">
        <v>3226.45</v>
      </c>
      <c r="T671">
        <v>1875.71</v>
      </c>
      <c r="U671" t="s">
        <v>32</v>
      </c>
      <c r="V671" t="s">
        <v>33</v>
      </c>
      <c r="W671" s="8">
        <f t="shared" si="81"/>
        <v>0.25</v>
      </c>
      <c r="X671">
        <f t="shared" si="82"/>
        <v>5102.16</v>
      </c>
      <c r="Y671">
        <f t="shared" si="83"/>
        <v>1875.71</v>
      </c>
      <c r="Z671" s="8">
        <f t="shared" si="84"/>
        <v>0.36763057214983458</v>
      </c>
      <c r="AA671" t="str">
        <f t="shared" si="85"/>
        <v>March</v>
      </c>
      <c r="AB671">
        <f t="shared" si="86"/>
        <v>2024</v>
      </c>
      <c r="AC671" t="str">
        <f t="shared" si="87"/>
        <v>Clean</v>
      </c>
    </row>
    <row r="672" spans="1:29">
      <c r="A672" t="s">
        <v>2094</v>
      </c>
      <c r="B672" s="2">
        <v>45690</v>
      </c>
      <c r="C672" s="2">
        <v>45694</v>
      </c>
      <c r="D672" s="3">
        <f t="shared" si="80"/>
        <v>4</v>
      </c>
      <c r="E672" t="s">
        <v>1596</v>
      </c>
      <c r="F672" t="s">
        <v>132</v>
      </c>
      <c r="G672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2095</v>
      </c>
      <c r="N672" t="s">
        <v>59</v>
      </c>
      <c r="O672">
        <v>8</v>
      </c>
      <c r="P672">
        <v>857.86</v>
      </c>
      <c r="Q672" s="6">
        <v>0.1</v>
      </c>
      <c r="R672">
        <v>6176.59</v>
      </c>
      <c r="S672">
        <v>3560.96</v>
      </c>
      <c r="T672">
        <v>2615.63</v>
      </c>
      <c r="U672" t="s">
        <v>32</v>
      </c>
      <c r="V672" t="s">
        <v>33</v>
      </c>
      <c r="W672" s="8">
        <f t="shared" si="81"/>
        <v>0.1</v>
      </c>
      <c r="X672">
        <f t="shared" si="82"/>
        <v>6176.5920000000006</v>
      </c>
      <c r="Y672">
        <f t="shared" si="83"/>
        <v>2615.6320000000005</v>
      </c>
      <c r="Z672" s="8">
        <f t="shared" si="84"/>
        <v>0.42347495188285067</v>
      </c>
      <c r="AA672" t="str">
        <f t="shared" si="85"/>
        <v>February</v>
      </c>
      <c r="AB672">
        <f t="shared" si="86"/>
        <v>2025</v>
      </c>
      <c r="AC672" t="str">
        <f t="shared" si="87"/>
        <v>Clean</v>
      </c>
    </row>
    <row r="673" spans="1:29">
      <c r="A673" t="s">
        <v>2096</v>
      </c>
      <c r="B673" s="2">
        <v>45373</v>
      </c>
      <c r="C673" s="2">
        <v>45378</v>
      </c>
      <c r="D673" s="3">
        <f t="shared" si="80"/>
        <v>5</v>
      </c>
      <c r="E673" t="s">
        <v>2097</v>
      </c>
      <c r="F673" t="s">
        <v>89</v>
      </c>
      <c r="G673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80</v>
      </c>
      <c r="M673" t="s">
        <v>2098</v>
      </c>
      <c r="N673" t="s">
        <v>31</v>
      </c>
      <c r="O673">
        <v>9</v>
      </c>
      <c r="P673">
        <v>3649.51</v>
      </c>
      <c r="Q673" s="6">
        <v>0.05</v>
      </c>
      <c r="R673">
        <v>31203.31</v>
      </c>
      <c r="S673">
        <v>17738.13</v>
      </c>
      <c r="T673">
        <v>13465.18</v>
      </c>
      <c r="U673" t="s">
        <v>32</v>
      </c>
      <c r="V673" t="s">
        <v>33</v>
      </c>
      <c r="W673" s="8">
        <f t="shared" si="81"/>
        <v>0.05</v>
      </c>
      <c r="X673">
        <f t="shared" si="82"/>
        <v>31203.310500000003</v>
      </c>
      <c r="Y673">
        <f t="shared" si="83"/>
        <v>13465.180500000002</v>
      </c>
      <c r="Z673" s="8">
        <f t="shared" si="84"/>
        <v>0.43153051020019179</v>
      </c>
      <c r="AA673" t="str">
        <f t="shared" si="85"/>
        <v>March</v>
      </c>
      <c r="AB673">
        <f t="shared" si="86"/>
        <v>2024</v>
      </c>
      <c r="AC673" t="str">
        <f t="shared" si="87"/>
        <v>Clean</v>
      </c>
    </row>
    <row r="674" spans="1:29">
      <c r="A674" t="s">
        <v>2099</v>
      </c>
      <c r="B674" s="2">
        <v>45539</v>
      </c>
      <c r="C674" s="2">
        <v>45540</v>
      </c>
      <c r="D674" s="3">
        <f t="shared" si="80"/>
        <v>1</v>
      </c>
      <c r="E674" t="s">
        <v>2100</v>
      </c>
      <c r="F674" t="s">
        <v>89</v>
      </c>
      <c r="G674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2101</v>
      </c>
      <c r="N674" t="s">
        <v>59</v>
      </c>
      <c r="O674">
        <v>5</v>
      </c>
      <c r="P674">
        <v>2528.5300000000002</v>
      </c>
      <c r="Q674" s="6">
        <v>0.05</v>
      </c>
      <c r="R674">
        <v>12010.52</v>
      </c>
      <c r="S674">
        <v>7864.61</v>
      </c>
      <c r="T674">
        <v>4145.91</v>
      </c>
      <c r="U674" t="s">
        <v>32</v>
      </c>
      <c r="V674" t="s">
        <v>103</v>
      </c>
      <c r="W674" s="8">
        <f t="shared" si="81"/>
        <v>0.05</v>
      </c>
      <c r="X674">
        <f t="shared" si="82"/>
        <v>12010.5175</v>
      </c>
      <c r="Y674">
        <f t="shared" si="83"/>
        <v>4145.9075000000003</v>
      </c>
      <c r="Z674" s="8">
        <f t="shared" si="84"/>
        <v>0.34518974723612039</v>
      </c>
      <c r="AA674" t="str">
        <f t="shared" si="85"/>
        <v>September</v>
      </c>
      <c r="AB674">
        <f t="shared" si="86"/>
        <v>2024</v>
      </c>
      <c r="AC674" t="str">
        <f t="shared" si="87"/>
        <v>Clean</v>
      </c>
    </row>
    <row r="675" spans="1:29">
      <c r="A675" t="s">
        <v>2102</v>
      </c>
      <c r="B675" s="2">
        <v>45701</v>
      </c>
      <c r="C675" s="2">
        <v>45704</v>
      </c>
      <c r="D675" s="3">
        <f t="shared" si="80"/>
        <v>3</v>
      </c>
      <c r="E675" t="s">
        <v>2103</v>
      </c>
      <c r="F675" t="s">
        <v>53</v>
      </c>
      <c r="G67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2104</v>
      </c>
      <c r="N675" t="s">
        <v>31</v>
      </c>
      <c r="O675">
        <v>4</v>
      </c>
      <c r="P675">
        <v>4072.9</v>
      </c>
      <c r="Q675" s="6">
        <v>0.15</v>
      </c>
      <c r="R675">
        <v>13847.86</v>
      </c>
      <c r="S675">
        <v>8471.7800000000007</v>
      </c>
      <c r="T675">
        <v>5376.08</v>
      </c>
      <c r="U675" t="s">
        <v>32</v>
      </c>
      <c r="V675" t="s">
        <v>33</v>
      </c>
      <c r="W675" s="8">
        <f t="shared" si="81"/>
        <v>0.15</v>
      </c>
      <c r="X675">
        <f t="shared" si="82"/>
        <v>13847.86</v>
      </c>
      <c r="Y675">
        <f t="shared" si="83"/>
        <v>5376.08</v>
      </c>
      <c r="Z675" s="8">
        <f t="shared" si="84"/>
        <v>0.38822460654570451</v>
      </c>
      <c r="AA675" t="str">
        <f t="shared" si="85"/>
        <v>February</v>
      </c>
      <c r="AB675">
        <f t="shared" si="86"/>
        <v>2025</v>
      </c>
      <c r="AC675" t="str">
        <f t="shared" si="87"/>
        <v>Clean</v>
      </c>
    </row>
    <row r="676" spans="1:29">
      <c r="A676" t="s">
        <v>2105</v>
      </c>
      <c r="B676" s="2">
        <v>45430</v>
      </c>
      <c r="C676" s="2">
        <v>45433</v>
      </c>
      <c r="D676" s="3">
        <f t="shared" si="80"/>
        <v>3</v>
      </c>
      <c r="E676" t="s">
        <v>2106</v>
      </c>
      <c r="F676" t="s">
        <v>71</v>
      </c>
      <c r="G676" t="s">
        <v>90</v>
      </c>
      <c r="H676" t="s">
        <v>38</v>
      </c>
      <c r="I676" t="s">
        <v>228</v>
      </c>
      <c r="J676" t="s">
        <v>229</v>
      </c>
      <c r="K676" t="s">
        <v>74</v>
      </c>
      <c r="L676" t="s">
        <v>75</v>
      </c>
      <c r="M676" t="s">
        <v>2107</v>
      </c>
      <c r="N676" t="s">
        <v>31</v>
      </c>
      <c r="O676">
        <v>1</v>
      </c>
      <c r="P676">
        <v>1033.71</v>
      </c>
      <c r="Q676" s="7">
        <v>0</v>
      </c>
      <c r="R676">
        <v>1033.71</v>
      </c>
      <c r="S676">
        <v>630.82000000000005</v>
      </c>
      <c r="T676">
        <v>402.89</v>
      </c>
      <c r="U676" t="s">
        <v>111</v>
      </c>
      <c r="V676" t="s">
        <v>103</v>
      </c>
      <c r="W676" s="8">
        <f t="shared" si="81"/>
        <v>0</v>
      </c>
      <c r="X676">
        <f t="shared" si="82"/>
        <v>1033.71</v>
      </c>
      <c r="Y676">
        <f t="shared" si="83"/>
        <v>402.89</v>
      </c>
      <c r="Z676" s="8">
        <f t="shared" si="84"/>
        <v>0.38975147768716562</v>
      </c>
      <c r="AA676" t="str">
        <f t="shared" si="85"/>
        <v>May</v>
      </c>
      <c r="AB676">
        <f t="shared" si="86"/>
        <v>2024</v>
      </c>
      <c r="AC676" t="str">
        <f t="shared" si="87"/>
        <v>Clean</v>
      </c>
    </row>
    <row r="677" spans="1:29">
      <c r="A677" t="s">
        <v>2108</v>
      </c>
      <c r="B677" s="2">
        <v>45844</v>
      </c>
      <c r="C677" s="2">
        <v>45818</v>
      </c>
      <c r="D677" s="5">
        <f t="shared" si="80"/>
        <v>-26</v>
      </c>
      <c r="E677" t="s">
        <v>2009</v>
      </c>
      <c r="F677" t="s">
        <v>128</v>
      </c>
      <c r="G677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2109</v>
      </c>
      <c r="N677" t="s">
        <v>44</v>
      </c>
      <c r="O677">
        <v>3</v>
      </c>
      <c r="P677">
        <v>963.26</v>
      </c>
      <c r="Q677" s="7">
        <v>0</v>
      </c>
      <c r="R677">
        <v>2889.78</v>
      </c>
      <c r="S677">
        <v>1811.23</v>
      </c>
      <c r="T677">
        <v>1078.55</v>
      </c>
      <c r="U677" t="s">
        <v>32</v>
      </c>
      <c r="V677" t="s">
        <v>33</v>
      </c>
      <c r="W677" s="8">
        <f t="shared" si="81"/>
        <v>0</v>
      </c>
      <c r="X677">
        <f t="shared" si="82"/>
        <v>2889.7799999999997</v>
      </c>
      <c r="Y677">
        <f t="shared" si="83"/>
        <v>1078.5499999999997</v>
      </c>
      <c r="Z677" s="8">
        <f t="shared" si="84"/>
        <v>0.37322910394562903</v>
      </c>
      <c r="AA677" t="str">
        <f t="shared" si="85"/>
        <v>July</v>
      </c>
      <c r="AB677">
        <f t="shared" si="86"/>
        <v>2025</v>
      </c>
      <c r="AC677" t="str">
        <f t="shared" si="87"/>
        <v>Warning</v>
      </c>
    </row>
    <row r="678" spans="1:29">
      <c r="A678" t="s">
        <v>2110</v>
      </c>
      <c r="B678" s="2">
        <v>45911</v>
      </c>
      <c r="C678" s="2">
        <v>45918</v>
      </c>
      <c r="D678" s="3">
        <f t="shared" si="80"/>
        <v>7</v>
      </c>
      <c r="E678" t="s">
        <v>2111</v>
      </c>
      <c r="F678" t="s">
        <v>118</v>
      </c>
      <c r="G678" t="s">
        <v>37</v>
      </c>
      <c r="H678" t="s">
        <v>25</v>
      </c>
      <c r="I678" t="s">
        <v>350</v>
      </c>
      <c r="J678" t="s">
        <v>351</v>
      </c>
      <c r="K678" t="s">
        <v>74</v>
      </c>
      <c r="L678" t="s">
        <v>171</v>
      </c>
      <c r="M678" t="s">
        <v>2112</v>
      </c>
      <c r="N678" t="s">
        <v>44</v>
      </c>
      <c r="O678">
        <v>7</v>
      </c>
      <c r="P678">
        <v>3411.21</v>
      </c>
      <c r="Q678" s="6">
        <v>0.15</v>
      </c>
      <c r="R678">
        <v>20296.7</v>
      </c>
      <c r="S678">
        <v>14920.87</v>
      </c>
      <c r="T678">
        <v>5375.83</v>
      </c>
      <c r="U678" t="s">
        <v>32</v>
      </c>
      <c r="V678" t="s">
        <v>33</v>
      </c>
      <c r="W678" s="8">
        <f t="shared" si="81"/>
        <v>0.15</v>
      </c>
      <c r="X678">
        <f t="shared" si="82"/>
        <v>20296.699499999999</v>
      </c>
      <c r="Y678">
        <f t="shared" si="83"/>
        <v>5375.829499999998</v>
      </c>
      <c r="Z678" s="8">
        <f t="shared" si="84"/>
        <v>0.26486225014071862</v>
      </c>
      <c r="AA678" t="str">
        <f t="shared" si="85"/>
        <v>September</v>
      </c>
      <c r="AB678">
        <f t="shared" si="86"/>
        <v>2025</v>
      </c>
      <c r="AC678" t="str">
        <f t="shared" si="87"/>
        <v>Clean</v>
      </c>
    </row>
    <row r="679" spans="1:29">
      <c r="A679" t="s">
        <v>2113</v>
      </c>
      <c r="B679" s="2">
        <v>45465</v>
      </c>
      <c r="C679" s="2">
        <v>45470</v>
      </c>
      <c r="D679" s="3">
        <f t="shared" si="80"/>
        <v>5</v>
      </c>
      <c r="E679" t="s">
        <v>22</v>
      </c>
      <c r="F679" t="s">
        <v>47</v>
      </c>
      <c r="G679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2114</v>
      </c>
      <c r="N679" t="s">
        <v>44</v>
      </c>
      <c r="O679">
        <v>7</v>
      </c>
      <c r="P679">
        <v>2623.48</v>
      </c>
      <c r="Q679" s="7">
        <v>0</v>
      </c>
      <c r="R679">
        <v>18364.36</v>
      </c>
      <c r="S679">
        <v>15445.81</v>
      </c>
      <c r="T679">
        <v>2918.55</v>
      </c>
      <c r="U679" t="s">
        <v>32</v>
      </c>
      <c r="V679" t="s">
        <v>33</v>
      </c>
      <c r="W679" s="8">
        <f t="shared" si="81"/>
        <v>0</v>
      </c>
      <c r="X679">
        <f t="shared" si="82"/>
        <v>18364.36</v>
      </c>
      <c r="Y679">
        <f t="shared" si="83"/>
        <v>2918.5500000000011</v>
      </c>
      <c r="Z679" s="8">
        <f t="shared" si="84"/>
        <v>0.15892467801763857</v>
      </c>
      <c r="AA679" t="str">
        <f t="shared" si="85"/>
        <v>June</v>
      </c>
      <c r="AB679">
        <f t="shared" si="86"/>
        <v>2024</v>
      </c>
      <c r="AC679" t="str">
        <f t="shared" si="87"/>
        <v>Clean</v>
      </c>
    </row>
    <row r="680" spans="1:29">
      <c r="A680" t="s">
        <v>2115</v>
      </c>
      <c r="B680" s="2">
        <v>45620</v>
      </c>
      <c r="C680" s="2">
        <v>45627</v>
      </c>
      <c r="D680" s="3">
        <f t="shared" si="80"/>
        <v>7</v>
      </c>
      <c r="E680" t="s">
        <v>2116</v>
      </c>
      <c r="F680" t="s">
        <v>264</v>
      </c>
      <c r="G680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2117</v>
      </c>
      <c r="N680" t="s">
        <v>31</v>
      </c>
      <c r="O680">
        <v>9</v>
      </c>
      <c r="P680">
        <v>2763.61</v>
      </c>
      <c r="Q680" s="6">
        <v>0.15</v>
      </c>
      <c r="R680">
        <v>21141.62</v>
      </c>
      <c r="S680">
        <v>11676.33</v>
      </c>
      <c r="T680">
        <v>9465.2900000000009</v>
      </c>
      <c r="U680" t="s">
        <v>32</v>
      </c>
      <c r="V680" t="s">
        <v>33</v>
      </c>
      <c r="W680" s="8">
        <f t="shared" si="81"/>
        <v>0.15</v>
      </c>
      <c r="X680">
        <f t="shared" si="82"/>
        <v>21141.6165</v>
      </c>
      <c r="Y680">
        <f t="shared" si="83"/>
        <v>9465.2865000000002</v>
      </c>
      <c r="Z680" s="8">
        <f t="shared" si="84"/>
        <v>0.44770874071999178</v>
      </c>
      <c r="AA680" t="str">
        <f t="shared" si="85"/>
        <v>November</v>
      </c>
      <c r="AB680">
        <f t="shared" si="86"/>
        <v>2024</v>
      </c>
      <c r="AC680" t="str">
        <f t="shared" si="87"/>
        <v>Clean</v>
      </c>
    </row>
    <row r="681" spans="1:29">
      <c r="A681" t="s">
        <v>2118</v>
      </c>
      <c r="B681" s="2">
        <v>45885</v>
      </c>
      <c r="C681" s="2">
        <v>45892</v>
      </c>
      <c r="D681" s="3">
        <f t="shared" si="80"/>
        <v>7</v>
      </c>
      <c r="E681" t="s">
        <v>2119</v>
      </c>
      <c r="F681" t="s">
        <v>141</v>
      </c>
      <c r="G681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2120</v>
      </c>
      <c r="N681" t="s">
        <v>44</v>
      </c>
      <c r="O681">
        <v>4</v>
      </c>
      <c r="P681">
        <v>1410.57</v>
      </c>
      <c r="Q681" s="6">
        <v>0.7</v>
      </c>
      <c r="R681">
        <v>5360.17</v>
      </c>
      <c r="S681">
        <v>3881.51</v>
      </c>
      <c r="T681">
        <v>1478.66</v>
      </c>
      <c r="U681" t="s">
        <v>102</v>
      </c>
      <c r="V681" t="s">
        <v>68</v>
      </c>
      <c r="W681" s="8">
        <f t="shared" si="81"/>
        <v>0.7</v>
      </c>
      <c r="X681">
        <f t="shared" si="82"/>
        <v>1692.6840000000002</v>
      </c>
      <c r="Y681">
        <f t="shared" si="83"/>
        <v>-2188.826</v>
      </c>
      <c r="Z681" s="8">
        <f t="shared" si="84"/>
        <v>-1.2931096412561351</v>
      </c>
      <c r="AA681" t="str">
        <f t="shared" si="85"/>
        <v>August</v>
      </c>
      <c r="AB681">
        <f t="shared" si="86"/>
        <v>2025</v>
      </c>
      <c r="AC681" t="str">
        <f t="shared" si="87"/>
        <v>Clean</v>
      </c>
    </row>
    <row r="682" spans="1:29">
      <c r="A682" t="s">
        <v>2121</v>
      </c>
      <c r="B682" s="2">
        <v>45441</v>
      </c>
      <c r="C682" s="2">
        <v>45448</v>
      </c>
      <c r="D682" s="3">
        <f t="shared" si="80"/>
        <v>7</v>
      </c>
      <c r="E682" t="s">
        <v>2122</v>
      </c>
      <c r="F682" t="s">
        <v>264</v>
      </c>
      <c r="G682" t="s">
        <v>90</v>
      </c>
      <c r="H682" t="s">
        <v>54</v>
      </c>
      <c r="I682" t="s">
        <v>247</v>
      </c>
      <c r="J682" t="s">
        <v>248</v>
      </c>
      <c r="K682" t="s">
        <v>74</v>
      </c>
      <c r="L682" t="s">
        <v>75</v>
      </c>
      <c r="M682" t="s">
        <v>2123</v>
      </c>
      <c r="N682" t="s">
        <v>50</v>
      </c>
      <c r="O682">
        <v>4</v>
      </c>
      <c r="P682">
        <v>3700.24</v>
      </c>
      <c r="Q682" s="7">
        <v>0</v>
      </c>
      <c r="R682">
        <v>14800.96</v>
      </c>
      <c r="S682">
        <v>12048.39</v>
      </c>
      <c r="T682">
        <v>2752.57</v>
      </c>
      <c r="U682" t="s">
        <v>32</v>
      </c>
      <c r="V682" t="s">
        <v>33</v>
      </c>
      <c r="W682" s="8">
        <f t="shared" si="81"/>
        <v>0</v>
      </c>
      <c r="X682">
        <f t="shared" si="82"/>
        <v>14800.96</v>
      </c>
      <c r="Y682">
        <f t="shared" si="83"/>
        <v>2752.5699999999997</v>
      </c>
      <c r="Z682" s="8">
        <f t="shared" si="84"/>
        <v>0.18597239638509933</v>
      </c>
      <c r="AA682" t="str">
        <f t="shared" si="85"/>
        <v>May</v>
      </c>
      <c r="AB682">
        <f t="shared" si="86"/>
        <v>2024</v>
      </c>
      <c r="AC682" t="str">
        <f t="shared" si="87"/>
        <v>Clean</v>
      </c>
    </row>
    <row r="683" spans="1:29">
      <c r="A683" t="s">
        <v>2124</v>
      </c>
      <c r="B683" s="2">
        <v>45477</v>
      </c>
      <c r="C683" s="2">
        <v>45483</v>
      </c>
      <c r="D683" s="3">
        <f t="shared" si="80"/>
        <v>6</v>
      </c>
      <c r="E683" t="s">
        <v>2125</v>
      </c>
      <c r="F683" t="s">
        <v>71</v>
      </c>
      <c r="G683" t="s">
        <v>90</v>
      </c>
      <c r="H683" t="s">
        <v>25</v>
      </c>
      <c r="I683" t="s">
        <v>350</v>
      </c>
      <c r="J683" t="s">
        <v>351</v>
      </c>
      <c r="K683" t="s">
        <v>41</v>
      </c>
      <c r="L683" t="s">
        <v>42</v>
      </c>
      <c r="M683" t="s">
        <v>2126</v>
      </c>
      <c r="N683" t="s">
        <v>31</v>
      </c>
      <c r="O683">
        <v>5</v>
      </c>
      <c r="P683">
        <v>1200.27</v>
      </c>
      <c r="Q683" s="7">
        <v>0</v>
      </c>
      <c r="R683">
        <v>6001.35</v>
      </c>
      <c r="S683">
        <v>4182.99</v>
      </c>
      <c r="T683">
        <v>1818.36</v>
      </c>
      <c r="U683" t="s">
        <v>32</v>
      </c>
      <c r="V683" t="s">
        <v>68</v>
      </c>
      <c r="W683" s="8">
        <f t="shared" si="81"/>
        <v>0</v>
      </c>
      <c r="X683">
        <f t="shared" si="82"/>
        <v>6001.35</v>
      </c>
      <c r="Y683">
        <f t="shared" si="83"/>
        <v>1818.3600000000006</v>
      </c>
      <c r="Z683" s="8">
        <f t="shared" si="84"/>
        <v>0.30299182683896131</v>
      </c>
      <c r="AA683" t="str">
        <f t="shared" si="85"/>
        <v>July</v>
      </c>
      <c r="AB683">
        <f t="shared" si="86"/>
        <v>2024</v>
      </c>
      <c r="AC683" t="str">
        <f t="shared" si="87"/>
        <v>Clean</v>
      </c>
    </row>
    <row r="684" spans="1:29">
      <c r="A684" t="s">
        <v>2127</v>
      </c>
      <c r="B684" s="2">
        <v>45693</v>
      </c>
      <c r="C684" s="2">
        <v>45779</v>
      </c>
      <c r="D684" s="3">
        <f t="shared" si="80"/>
        <v>86</v>
      </c>
      <c r="E684" t="s">
        <v>2128</v>
      </c>
      <c r="F684" t="s">
        <v>62</v>
      </c>
      <c r="G684" t="s">
        <v>90</v>
      </c>
      <c r="H684" t="s">
        <v>25</v>
      </c>
      <c r="I684" t="s">
        <v>236</v>
      </c>
      <c r="J684" t="s">
        <v>237</v>
      </c>
      <c r="K684" t="s">
        <v>28</v>
      </c>
      <c r="L684" t="s">
        <v>124</v>
      </c>
      <c r="M684" t="s">
        <v>2129</v>
      </c>
      <c r="N684" t="s">
        <v>44</v>
      </c>
      <c r="O684">
        <v>3</v>
      </c>
      <c r="P684">
        <v>2590.7800000000002</v>
      </c>
      <c r="Q684" s="7">
        <v>0</v>
      </c>
      <c r="R684">
        <v>7383.72</v>
      </c>
      <c r="S684">
        <v>4113.66</v>
      </c>
      <c r="T684">
        <v>3270.06</v>
      </c>
      <c r="U684" t="s">
        <v>32</v>
      </c>
      <c r="V684" t="s">
        <v>33</v>
      </c>
      <c r="W684" s="8">
        <f t="shared" si="81"/>
        <v>0</v>
      </c>
      <c r="X684">
        <f t="shared" si="82"/>
        <v>7772.34</v>
      </c>
      <c r="Y684">
        <f t="shared" si="83"/>
        <v>3658.6800000000003</v>
      </c>
      <c r="Z684" s="8">
        <f t="shared" si="84"/>
        <v>0.47073082237781677</v>
      </c>
      <c r="AA684" t="str">
        <f t="shared" si="85"/>
        <v>February</v>
      </c>
      <c r="AB684">
        <f t="shared" si="86"/>
        <v>2025</v>
      </c>
      <c r="AC684" t="str">
        <f t="shared" si="87"/>
        <v>Clean</v>
      </c>
    </row>
    <row r="685" spans="1:29">
      <c r="A685" t="s">
        <v>2130</v>
      </c>
      <c r="B685" s="2">
        <v>45858</v>
      </c>
      <c r="C685" s="2">
        <v>45862</v>
      </c>
      <c r="D685" s="3">
        <f t="shared" si="80"/>
        <v>4</v>
      </c>
      <c r="E685" t="s">
        <v>2131</v>
      </c>
      <c r="F685" t="s">
        <v>53</v>
      </c>
      <c r="G68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2132</v>
      </c>
      <c r="N685" t="s">
        <v>31</v>
      </c>
      <c r="O685">
        <v>6</v>
      </c>
      <c r="P685">
        <v>1646.45</v>
      </c>
      <c r="Q685" s="6">
        <v>0.2</v>
      </c>
      <c r="R685">
        <v>7902.96</v>
      </c>
      <c r="S685">
        <v>5512.03</v>
      </c>
      <c r="T685">
        <v>2390.9299999999998</v>
      </c>
      <c r="U685" t="s">
        <v>102</v>
      </c>
      <c r="V685" t="s">
        <v>68</v>
      </c>
      <c r="W685" s="8">
        <f t="shared" si="81"/>
        <v>0.2</v>
      </c>
      <c r="X685">
        <f t="shared" si="82"/>
        <v>7902.9600000000009</v>
      </c>
      <c r="Y685">
        <f t="shared" si="83"/>
        <v>2390.9300000000012</v>
      </c>
      <c r="Z685" s="8">
        <f t="shared" si="84"/>
        <v>0.30253601182341816</v>
      </c>
      <c r="AA685" t="str">
        <f t="shared" si="85"/>
        <v>July</v>
      </c>
      <c r="AB685">
        <f t="shared" si="86"/>
        <v>2025</v>
      </c>
      <c r="AC685" t="str">
        <f t="shared" si="87"/>
        <v>Clean</v>
      </c>
    </row>
    <row r="686" spans="1:29">
      <c r="A686" t="s">
        <v>2133</v>
      </c>
      <c r="B686" s="2">
        <v>45859</v>
      </c>
      <c r="C686" s="2">
        <v>45859</v>
      </c>
      <c r="D686" s="3">
        <f t="shared" si="80"/>
        <v>0</v>
      </c>
      <c r="E686" t="s">
        <v>2134</v>
      </c>
      <c r="F686" t="s">
        <v>47</v>
      </c>
      <c r="G686" t="s">
        <v>95</v>
      </c>
      <c r="H686" t="s">
        <v>54</v>
      </c>
      <c r="I686" t="s">
        <v>247</v>
      </c>
      <c r="J686" t="s">
        <v>248</v>
      </c>
      <c r="K686" t="s">
        <v>41</v>
      </c>
      <c r="L686" t="s">
        <v>158</v>
      </c>
      <c r="M686" t="s">
        <v>2135</v>
      </c>
      <c r="N686" t="s">
        <v>50</v>
      </c>
      <c r="O686">
        <v>7</v>
      </c>
      <c r="P686">
        <v>4396.6499999999996</v>
      </c>
      <c r="Q686" s="6">
        <v>0.2</v>
      </c>
      <c r="R686">
        <v>24621.24</v>
      </c>
      <c r="S686">
        <v>17155.48</v>
      </c>
      <c r="T686">
        <v>7465.76</v>
      </c>
      <c r="U686" t="s">
        <v>102</v>
      </c>
      <c r="V686" t="s">
        <v>68</v>
      </c>
      <c r="W686" s="8">
        <f t="shared" si="81"/>
        <v>0.2</v>
      </c>
      <c r="X686">
        <f t="shared" si="82"/>
        <v>24621.239999999998</v>
      </c>
      <c r="Y686">
        <f t="shared" si="83"/>
        <v>7465.7599999999984</v>
      </c>
      <c r="Z686" s="8">
        <f t="shared" si="84"/>
        <v>0.3032243705028666</v>
      </c>
      <c r="AA686" t="str">
        <f t="shared" si="85"/>
        <v>July</v>
      </c>
      <c r="AB686">
        <f t="shared" si="86"/>
        <v>2025</v>
      </c>
      <c r="AC686" t="str">
        <f t="shared" si="87"/>
        <v>Clean</v>
      </c>
    </row>
    <row r="687" spans="1:29">
      <c r="A687" t="s">
        <v>2136</v>
      </c>
      <c r="B687" s="2">
        <v>45931</v>
      </c>
      <c r="C687" s="2">
        <v>45933</v>
      </c>
      <c r="D687" s="3">
        <f t="shared" si="80"/>
        <v>2</v>
      </c>
      <c r="E687" t="s">
        <v>1802</v>
      </c>
      <c r="F687" t="s">
        <v>79</v>
      </c>
      <c r="G687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2137</v>
      </c>
      <c r="N687" t="s">
        <v>59</v>
      </c>
      <c r="O687">
        <v>9</v>
      </c>
      <c r="P687">
        <v>818.15</v>
      </c>
      <c r="Q687" s="6">
        <v>0.55000000000000004</v>
      </c>
      <c r="R687">
        <v>6627.01</v>
      </c>
      <c r="S687">
        <v>5606.79</v>
      </c>
      <c r="T687">
        <v>1020.22</v>
      </c>
      <c r="U687" t="s">
        <v>155</v>
      </c>
      <c r="V687" t="s">
        <v>68</v>
      </c>
      <c r="W687" s="8">
        <f t="shared" si="81"/>
        <v>0.55000000000000004</v>
      </c>
      <c r="X687">
        <f t="shared" si="82"/>
        <v>3313.5074999999993</v>
      </c>
      <c r="Y687">
        <f t="shared" si="83"/>
        <v>-2293.2825000000007</v>
      </c>
      <c r="Z687" s="8">
        <f t="shared" si="84"/>
        <v>-0.69210119488185895</v>
      </c>
      <c r="AA687" t="str">
        <f t="shared" si="85"/>
        <v>October</v>
      </c>
      <c r="AB687">
        <f t="shared" si="86"/>
        <v>2025</v>
      </c>
      <c r="AC687" t="str">
        <f t="shared" si="87"/>
        <v>Clean</v>
      </c>
    </row>
    <row r="688" spans="1:29">
      <c r="A688" t="s">
        <v>2138</v>
      </c>
      <c r="B688" s="2">
        <v>45376</v>
      </c>
      <c r="C688" s="2">
        <v>45384</v>
      </c>
      <c r="D688" s="3">
        <f t="shared" si="80"/>
        <v>8</v>
      </c>
      <c r="E688" t="s">
        <v>2139</v>
      </c>
      <c r="F688" t="s">
        <v>132</v>
      </c>
      <c r="G688" t="s">
        <v>95</v>
      </c>
      <c r="H688" t="s">
        <v>54</v>
      </c>
      <c r="I688" t="s">
        <v>247</v>
      </c>
      <c r="J688" t="s">
        <v>248</v>
      </c>
      <c r="K688" t="s">
        <v>74</v>
      </c>
      <c r="L688" t="s">
        <v>80</v>
      </c>
      <c r="M688" t="s">
        <v>2140</v>
      </c>
      <c r="N688" t="s">
        <v>59</v>
      </c>
      <c r="O688">
        <v>2</v>
      </c>
      <c r="P688">
        <v>2349.13</v>
      </c>
      <c r="Q688" s="7">
        <v>0</v>
      </c>
      <c r="R688">
        <v>4698.26</v>
      </c>
      <c r="S688">
        <v>2654.92</v>
      </c>
      <c r="T688">
        <v>2043.34</v>
      </c>
      <c r="U688" t="s">
        <v>32</v>
      </c>
      <c r="V688" t="s">
        <v>33</v>
      </c>
      <c r="W688" s="8">
        <f t="shared" si="81"/>
        <v>0</v>
      </c>
      <c r="X688">
        <f t="shared" si="82"/>
        <v>4698.26</v>
      </c>
      <c r="Y688">
        <f t="shared" si="83"/>
        <v>2043.3400000000001</v>
      </c>
      <c r="Z688" s="8">
        <f t="shared" si="84"/>
        <v>0.43491420227914163</v>
      </c>
      <c r="AA688" t="str">
        <f t="shared" si="85"/>
        <v>March</v>
      </c>
      <c r="AB688">
        <f t="shared" si="86"/>
        <v>2024</v>
      </c>
      <c r="AC688" t="str">
        <f t="shared" si="87"/>
        <v>Clean</v>
      </c>
    </row>
    <row r="689" spans="1:29">
      <c r="A689" t="s">
        <v>2141</v>
      </c>
      <c r="B689" s="2">
        <v>45938</v>
      </c>
      <c r="C689" s="2">
        <v>45943</v>
      </c>
      <c r="D689" s="3">
        <f t="shared" si="80"/>
        <v>5</v>
      </c>
      <c r="E689" t="s">
        <v>2142</v>
      </c>
      <c r="F689" t="s">
        <v>36</v>
      </c>
      <c r="G689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2143</v>
      </c>
      <c r="N689" t="s">
        <v>50</v>
      </c>
      <c r="O689">
        <v>4</v>
      </c>
      <c r="P689">
        <v>172.05</v>
      </c>
      <c r="Q689" s="7">
        <v>0</v>
      </c>
      <c r="R689">
        <v>688.2</v>
      </c>
      <c r="S689">
        <v>497.68</v>
      </c>
      <c r="T689">
        <v>190.52</v>
      </c>
      <c r="U689" t="s">
        <v>155</v>
      </c>
      <c r="V689" t="s">
        <v>68</v>
      </c>
      <c r="W689" s="8">
        <f t="shared" si="81"/>
        <v>0</v>
      </c>
      <c r="X689">
        <f t="shared" si="82"/>
        <v>688.2</v>
      </c>
      <c r="Y689">
        <f t="shared" si="83"/>
        <v>190.52000000000004</v>
      </c>
      <c r="Z689" s="8">
        <f t="shared" si="84"/>
        <v>0.27683812845103173</v>
      </c>
      <c r="AA689" t="str">
        <f t="shared" si="85"/>
        <v>October</v>
      </c>
      <c r="AB689">
        <f t="shared" si="86"/>
        <v>2025</v>
      </c>
      <c r="AC689" t="str">
        <f t="shared" si="87"/>
        <v>Clean</v>
      </c>
    </row>
    <row r="690" spans="1:29">
      <c r="A690" t="s">
        <v>2144</v>
      </c>
      <c r="B690" s="2">
        <v>45714</v>
      </c>
      <c r="C690" s="2">
        <v>45715</v>
      </c>
      <c r="D690" s="3">
        <f t="shared" si="80"/>
        <v>1</v>
      </c>
      <c r="E690" t="s">
        <v>2145</v>
      </c>
      <c r="F690" t="s">
        <v>79</v>
      </c>
      <c r="G690" t="s">
        <v>95</v>
      </c>
      <c r="H690" t="s">
        <v>25</v>
      </c>
      <c r="I690" t="s">
        <v>236</v>
      </c>
      <c r="J690" t="s">
        <v>237</v>
      </c>
      <c r="K690" t="s">
        <v>28</v>
      </c>
      <c r="L690" t="s">
        <v>48</v>
      </c>
      <c r="M690" t="s">
        <v>2146</v>
      </c>
      <c r="N690" t="s">
        <v>31</v>
      </c>
      <c r="O690">
        <v>6</v>
      </c>
      <c r="P690">
        <v>3037.66</v>
      </c>
      <c r="Q690" s="6">
        <v>0.15</v>
      </c>
      <c r="R690">
        <v>15492.07</v>
      </c>
      <c r="S690">
        <v>12581.23</v>
      </c>
      <c r="T690">
        <v>2910.84</v>
      </c>
      <c r="U690" t="s">
        <v>32</v>
      </c>
      <c r="V690" t="s">
        <v>33</v>
      </c>
      <c r="W690" s="8">
        <f t="shared" si="81"/>
        <v>0.15</v>
      </c>
      <c r="X690">
        <f t="shared" si="82"/>
        <v>15492.065999999999</v>
      </c>
      <c r="Y690">
        <f t="shared" si="83"/>
        <v>2910.8359999999993</v>
      </c>
      <c r="Z690" s="8">
        <f t="shared" si="84"/>
        <v>0.18789204745190213</v>
      </c>
      <c r="AA690" t="str">
        <f t="shared" si="85"/>
        <v>February</v>
      </c>
      <c r="AB690">
        <f t="shared" si="86"/>
        <v>2025</v>
      </c>
      <c r="AC690" t="str">
        <f t="shared" si="87"/>
        <v>Clean</v>
      </c>
    </row>
    <row r="691" spans="1:29">
      <c r="A691" t="s">
        <v>2147</v>
      </c>
      <c r="B691" s="2">
        <v>45422</v>
      </c>
      <c r="C691" s="2">
        <v>45571</v>
      </c>
      <c r="D691" s="3">
        <f t="shared" si="80"/>
        <v>149</v>
      </c>
      <c r="E691" t="s">
        <v>2148</v>
      </c>
      <c r="F691" t="s">
        <v>141</v>
      </c>
      <c r="G691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2149</v>
      </c>
      <c r="N691" t="s">
        <v>59</v>
      </c>
      <c r="O691">
        <v>9</v>
      </c>
      <c r="P691">
        <v>489.58</v>
      </c>
      <c r="Q691" s="6">
        <v>0.15</v>
      </c>
      <c r="R691">
        <v>3745.29</v>
      </c>
      <c r="S691">
        <v>2302.65</v>
      </c>
      <c r="T691">
        <v>1442.64</v>
      </c>
      <c r="U691" t="s">
        <v>155</v>
      </c>
      <c r="V691" t="s">
        <v>68</v>
      </c>
      <c r="W691" s="8">
        <f t="shared" si="81"/>
        <v>0.15</v>
      </c>
      <c r="X691">
        <f t="shared" si="82"/>
        <v>3745.2870000000003</v>
      </c>
      <c r="Y691">
        <f t="shared" si="83"/>
        <v>1442.6370000000002</v>
      </c>
      <c r="Z691" s="8">
        <f t="shared" si="84"/>
        <v>0.38518730340291679</v>
      </c>
      <c r="AA691" t="str">
        <f t="shared" si="85"/>
        <v>May</v>
      </c>
      <c r="AB691">
        <f t="shared" si="86"/>
        <v>2024</v>
      </c>
      <c r="AC691" t="str">
        <f t="shared" si="87"/>
        <v>Clean</v>
      </c>
    </row>
    <row r="692" spans="1:29">
      <c r="A692" t="s">
        <v>2150</v>
      </c>
      <c r="B692" s="2">
        <v>45546</v>
      </c>
      <c r="C692" s="2">
        <v>45550</v>
      </c>
      <c r="D692" s="3">
        <f t="shared" si="80"/>
        <v>4</v>
      </c>
      <c r="E692" t="s">
        <v>2151</v>
      </c>
      <c r="F692" t="s">
        <v>132</v>
      </c>
      <c r="G692" t="s">
        <v>90</v>
      </c>
      <c r="H692" t="s">
        <v>54</v>
      </c>
      <c r="I692" t="s">
        <v>247</v>
      </c>
      <c r="J692" t="s">
        <v>248</v>
      </c>
      <c r="K692" t="s">
        <v>28</v>
      </c>
      <c r="L692" t="s">
        <v>48</v>
      </c>
      <c r="M692" t="s">
        <v>2152</v>
      </c>
      <c r="N692" t="s">
        <v>59</v>
      </c>
      <c r="O692">
        <v>4</v>
      </c>
      <c r="P692">
        <v>865.63</v>
      </c>
      <c r="Q692" s="7">
        <v>0</v>
      </c>
      <c r="R692">
        <v>3462.52</v>
      </c>
      <c r="S692">
        <v>2797.29</v>
      </c>
      <c r="T692">
        <v>665.23</v>
      </c>
      <c r="U692" t="s">
        <v>155</v>
      </c>
      <c r="V692" t="s">
        <v>103</v>
      </c>
      <c r="W692" s="8">
        <f t="shared" si="81"/>
        <v>0</v>
      </c>
      <c r="X692">
        <f t="shared" si="82"/>
        <v>3462.52</v>
      </c>
      <c r="Y692">
        <f t="shared" si="83"/>
        <v>665.23</v>
      </c>
      <c r="Z692" s="8">
        <f t="shared" si="84"/>
        <v>0.19212307798944123</v>
      </c>
      <c r="AA692" t="str">
        <f t="shared" si="85"/>
        <v>September</v>
      </c>
      <c r="AB692">
        <f t="shared" si="86"/>
        <v>2024</v>
      </c>
      <c r="AC692" t="str">
        <f t="shared" si="87"/>
        <v>Clean</v>
      </c>
    </row>
    <row r="693" spans="1:29">
      <c r="A693" t="s">
        <v>2153</v>
      </c>
      <c r="B693" s="2">
        <v>45641</v>
      </c>
      <c r="C693" s="2">
        <v>45642</v>
      </c>
      <c r="D693" s="3">
        <f t="shared" si="80"/>
        <v>1</v>
      </c>
      <c r="E693" t="s">
        <v>2154</v>
      </c>
      <c r="F693" t="s">
        <v>141</v>
      </c>
      <c r="G693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2155</v>
      </c>
      <c r="N693" t="s">
        <v>31</v>
      </c>
      <c r="O693">
        <v>6</v>
      </c>
      <c r="P693">
        <v>1538.1</v>
      </c>
      <c r="Q693" s="6">
        <v>0.05</v>
      </c>
      <c r="R693">
        <v>8767.17</v>
      </c>
      <c r="S693">
        <v>5098.2</v>
      </c>
      <c r="T693">
        <v>3668.97</v>
      </c>
      <c r="U693" t="s">
        <v>32</v>
      </c>
      <c r="V693" t="s">
        <v>33</v>
      </c>
      <c r="W693" s="8">
        <f t="shared" si="81"/>
        <v>0.05</v>
      </c>
      <c r="X693">
        <f t="shared" si="82"/>
        <v>8767.1699999999983</v>
      </c>
      <c r="Y693">
        <f t="shared" si="83"/>
        <v>3668.9699999999984</v>
      </c>
      <c r="Z693" s="8">
        <f t="shared" si="84"/>
        <v>0.41848966085977563</v>
      </c>
      <c r="AA693" t="str">
        <f t="shared" si="85"/>
        <v>December</v>
      </c>
      <c r="AB693">
        <f t="shared" si="86"/>
        <v>2024</v>
      </c>
      <c r="AC693" t="str">
        <f t="shared" si="87"/>
        <v>Clean</v>
      </c>
    </row>
    <row r="694" spans="1:29">
      <c r="A694" t="s">
        <v>2156</v>
      </c>
      <c r="B694" s="2">
        <v>45787</v>
      </c>
      <c r="C694" s="2">
        <v>45940</v>
      </c>
      <c r="D694" s="3">
        <f t="shared" si="80"/>
        <v>153</v>
      </c>
      <c r="E694" t="s">
        <v>2157</v>
      </c>
      <c r="F694" t="s">
        <v>47</v>
      </c>
      <c r="G694" t="s">
        <v>90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2158</v>
      </c>
      <c r="N694" t="s">
        <v>31</v>
      </c>
      <c r="O694">
        <v>4</v>
      </c>
      <c r="P694">
        <v>2365.6799999999998</v>
      </c>
      <c r="Q694" s="6">
        <v>0.1</v>
      </c>
      <c r="R694">
        <v>8516.4500000000007</v>
      </c>
      <c r="S694">
        <v>5903.81</v>
      </c>
      <c r="T694">
        <v>2612.64</v>
      </c>
      <c r="U694" t="s">
        <v>32</v>
      </c>
      <c r="V694" t="s">
        <v>33</v>
      </c>
      <c r="W694" s="8">
        <f t="shared" si="81"/>
        <v>0.1</v>
      </c>
      <c r="X694">
        <f t="shared" si="82"/>
        <v>8516.4480000000003</v>
      </c>
      <c r="Y694">
        <f t="shared" si="83"/>
        <v>2612.6379999999999</v>
      </c>
      <c r="Z694" s="8">
        <f t="shared" si="84"/>
        <v>0.30677554774009069</v>
      </c>
      <c r="AA694" t="str">
        <f t="shared" si="85"/>
        <v>May</v>
      </c>
      <c r="AB694">
        <f t="shared" si="86"/>
        <v>2025</v>
      </c>
      <c r="AC694" t="str">
        <f t="shared" si="87"/>
        <v>Clean</v>
      </c>
    </row>
    <row r="695" spans="1:29">
      <c r="A695" t="s">
        <v>2159</v>
      </c>
      <c r="B695" s="2">
        <v>45720</v>
      </c>
      <c r="C695" s="2">
        <v>45758</v>
      </c>
      <c r="D695" s="3">
        <f t="shared" si="80"/>
        <v>38</v>
      </c>
      <c r="E695" t="s">
        <v>2160</v>
      </c>
      <c r="F695" t="s">
        <v>53</v>
      </c>
      <c r="G695" t="s">
        <v>24</v>
      </c>
      <c r="H695" t="s">
        <v>54</v>
      </c>
      <c r="I695" t="s">
        <v>247</v>
      </c>
      <c r="J695" t="s">
        <v>248</v>
      </c>
      <c r="K695" t="s">
        <v>41</v>
      </c>
      <c r="L695" t="s">
        <v>158</v>
      </c>
      <c r="M695" t="s">
        <v>2161</v>
      </c>
      <c r="N695" t="s">
        <v>31</v>
      </c>
      <c r="O695">
        <v>3</v>
      </c>
      <c r="P695">
        <v>4149.7700000000004</v>
      </c>
      <c r="Q695" s="6">
        <v>0.05</v>
      </c>
      <c r="R695">
        <v>11826.84</v>
      </c>
      <c r="S695">
        <v>8035.96</v>
      </c>
      <c r="T695">
        <v>3790.88</v>
      </c>
      <c r="U695" t="s">
        <v>32</v>
      </c>
      <c r="V695" t="s">
        <v>33</v>
      </c>
      <c r="W695" s="8">
        <f t="shared" si="81"/>
        <v>0.05</v>
      </c>
      <c r="X695">
        <f t="shared" si="82"/>
        <v>11826.844500000001</v>
      </c>
      <c r="Y695">
        <f t="shared" si="83"/>
        <v>3790.884500000001</v>
      </c>
      <c r="Z695" s="8">
        <f t="shared" si="84"/>
        <v>0.32053220112938835</v>
      </c>
      <c r="AA695" t="str">
        <f t="shared" si="85"/>
        <v>March</v>
      </c>
      <c r="AB695">
        <f t="shared" si="86"/>
        <v>2025</v>
      </c>
      <c r="AC695" t="str">
        <f t="shared" si="87"/>
        <v>Clean</v>
      </c>
    </row>
    <row r="696" spans="1:29">
      <c r="A696" t="s">
        <v>2162</v>
      </c>
      <c r="B696" s="2">
        <v>45665</v>
      </c>
      <c r="C696" s="2">
        <v>45908</v>
      </c>
      <c r="D696" s="3">
        <f t="shared" si="80"/>
        <v>243</v>
      </c>
      <c r="E696" t="s">
        <v>1135</v>
      </c>
      <c r="F696" t="s">
        <v>47</v>
      </c>
      <c r="G696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2163</v>
      </c>
      <c r="N696" t="s">
        <v>50</v>
      </c>
      <c r="O696">
        <v>5</v>
      </c>
      <c r="P696">
        <v>2736.24</v>
      </c>
      <c r="Q696" s="6">
        <v>0.15</v>
      </c>
      <c r="R696">
        <v>11629.02</v>
      </c>
      <c r="S696">
        <v>9627.2099999999991</v>
      </c>
      <c r="T696">
        <v>2001.81</v>
      </c>
      <c r="U696" t="s">
        <v>32</v>
      </c>
      <c r="V696" t="s">
        <v>33</v>
      </c>
      <c r="W696" s="8">
        <f t="shared" si="81"/>
        <v>0.15</v>
      </c>
      <c r="X696">
        <f t="shared" si="82"/>
        <v>11629.019999999999</v>
      </c>
      <c r="Y696">
        <f t="shared" si="83"/>
        <v>2001.8099999999995</v>
      </c>
      <c r="Z696" s="8">
        <f t="shared" si="84"/>
        <v>0.17213918283741877</v>
      </c>
      <c r="AA696" t="str">
        <f t="shared" si="85"/>
        <v>January</v>
      </c>
      <c r="AB696">
        <f t="shared" si="86"/>
        <v>2025</v>
      </c>
      <c r="AC696" t="str">
        <f t="shared" si="87"/>
        <v>Clean</v>
      </c>
    </row>
    <row r="697" spans="1:29">
      <c r="A697" t="s">
        <v>2164</v>
      </c>
      <c r="B697" s="2">
        <v>45474</v>
      </c>
      <c r="C697" s="2">
        <v>45298</v>
      </c>
      <c r="D697" s="5">
        <f t="shared" si="80"/>
        <v>-176</v>
      </c>
      <c r="E697" t="s">
        <v>2165</v>
      </c>
      <c r="F697" t="s">
        <v>128</v>
      </c>
      <c r="G697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274</v>
      </c>
      <c r="M697" t="s">
        <v>2166</v>
      </c>
      <c r="N697" t="s">
        <v>59</v>
      </c>
      <c r="O697">
        <v>4</v>
      </c>
      <c r="P697">
        <v>257.39</v>
      </c>
      <c r="Q697" s="7">
        <v>0</v>
      </c>
      <c r="R697">
        <v>1029.56</v>
      </c>
      <c r="S697">
        <v>626.33000000000004</v>
      </c>
      <c r="T697">
        <v>403.23</v>
      </c>
      <c r="U697" t="s">
        <v>32</v>
      </c>
      <c r="V697" t="s">
        <v>33</v>
      </c>
      <c r="W697" s="8">
        <f t="shared" si="81"/>
        <v>0</v>
      </c>
      <c r="X697">
        <f t="shared" si="82"/>
        <v>1029.56</v>
      </c>
      <c r="Y697">
        <f t="shared" si="83"/>
        <v>403.2299999999999</v>
      </c>
      <c r="Z697" s="8">
        <f t="shared" si="84"/>
        <v>0.39165274486188267</v>
      </c>
      <c r="AA697" t="str">
        <f t="shared" si="85"/>
        <v>July</v>
      </c>
      <c r="AB697">
        <f t="shared" si="86"/>
        <v>2024</v>
      </c>
      <c r="AC697" t="str">
        <f t="shared" si="87"/>
        <v>Warning</v>
      </c>
    </row>
    <row r="698" spans="1:29">
      <c r="A698" t="s">
        <v>2167</v>
      </c>
      <c r="B698" s="2">
        <v>45922</v>
      </c>
      <c r="C698" s="2">
        <v>45925</v>
      </c>
      <c r="D698" s="3">
        <f t="shared" si="80"/>
        <v>3</v>
      </c>
      <c r="E698" t="s">
        <v>2168</v>
      </c>
      <c r="F698" t="s">
        <v>47</v>
      </c>
      <c r="G698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2169</v>
      </c>
      <c r="N698" s="4" t="s">
        <v>2760</v>
      </c>
      <c r="O698">
        <v>4</v>
      </c>
      <c r="P698">
        <v>1178.8399999999999</v>
      </c>
      <c r="Q698" s="6">
        <v>0.25</v>
      </c>
      <c r="R698">
        <v>3536.52</v>
      </c>
      <c r="S698">
        <v>2102.41</v>
      </c>
      <c r="T698">
        <v>1363.28</v>
      </c>
      <c r="U698" t="s">
        <v>32</v>
      </c>
      <c r="V698" t="s">
        <v>33</v>
      </c>
      <c r="W698" s="8">
        <f t="shared" si="81"/>
        <v>0.25</v>
      </c>
      <c r="X698">
        <f t="shared" si="82"/>
        <v>3536.5199999999995</v>
      </c>
      <c r="Y698">
        <f t="shared" si="83"/>
        <v>1434.1099999999997</v>
      </c>
      <c r="Z698" s="8">
        <f t="shared" si="84"/>
        <v>0.40551446054313278</v>
      </c>
      <c r="AA698" t="str">
        <f t="shared" si="85"/>
        <v>September</v>
      </c>
      <c r="AB698">
        <f t="shared" si="86"/>
        <v>2025</v>
      </c>
      <c r="AC698" t="str">
        <f t="shared" si="87"/>
        <v>Clean</v>
      </c>
    </row>
    <row r="699" spans="1:29">
      <c r="A699" t="s">
        <v>2170</v>
      </c>
      <c r="B699" s="2">
        <v>45717</v>
      </c>
      <c r="C699" s="2">
        <v>45841</v>
      </c>
      <c r="D699" s="3">
        <f t="shared" si="80"/>
        <v>124</v>
      </c>
      <c r="E699" t="s">
        <v>2171</v>
      </c>
      <c r="F699" t="s">
        <v>53</v>
      </c>
      <c r="G699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2172</v>
      </c>
      <c r="N699" t="s">
        <v>50</v>
      </c>
      <c r="O699">
        <v>7</v>
      </c>
      <c r="P699">
        <v>567.15</v>
      </c>
      <c r="Q699" s="7">
        <v>0</v>
      </c>
      <c r="R699">
        <v>2977.54</v>
      </c>
      <c r="S699">
        <v>1849.3</v>
      </c>
      <c r="T699">
        <v>1128.24</v>
      </c>
      <c r="U699" t="s">
        <v>102</v>
      </c>
      <c r="V699" t="s">
        <v>103</v>
      </c>
      <c r="W699" s="8">
        <f t="shared" si="81"/>
        <v>0</v>
      </c>
      <c r="X699">
        <f t="shared" si="82"/>
        <v>3970.0499999999997</v>
      </c>
      <c r="Y699">
        <f t="shared" si="83"/>
        <v>2120.75</v>
      </c>
      <c r="Z699" s="8">
        <f t="shared" si="84"/>
        <v>0.53418722686112274</v>
      </c>
      <c r="AA699" t="str">
        <f t="shared" si="85"/>
        <v>March</v>
      </c>
      <c r="AB699">
        <f t="shared" si="86"/>
        <v>2025</v>
      </c>
      <c r="AC699" t="str">
        <f t="shared" si="87"/>
        <v>Clean</v>
      </c>
    </row>
    <row r="700" spans="1:29">
      <c r="A700" t="s">
        <v>2173</v>
      </c>
      <c r="B700" s="2">
        <v>45549</v>
      </c>
      <c r="C700" s="2">
        <v>45549</v>
      </c>
      <c r="D700" s="3">
        <f t="shared" si="80"/>
        <v>0</v>
      </c>
      <c r="E700" t="s">
        <v>2174</v>
      </c>
      <c r="F700" t="s">
        <v>36</v>
      </c>
      <c r="G700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274</v>
      </c>
      <c r="M700" t="s">
        <v>2175</v>
      </c>
      <c r="N700" t="s">
        <v>59</v>
      </c>
      <c r="O700">
        <v>8</v>
      </c>
      <c r="P700">
        <v>4081.66</v>
      </c>
      <c r="Q700" s="6">
        <v>0.15</v>
      </c>
      <c r="R700">
        <v>28208.1</v>
      </c>
      <c r="S700">
        <v>23751.91</v>
      </c>
      <c r="T700">
        <v>4003.38</v>
      </c>
      <c r="U700" t="s">
        <v>32</v>
      </c>
      <c r="V700" t="s">
        <v>103</v>
      </c>
      <c r="W700" s="8">
        <f t="shared" si="81"/>
        <v>0.15</v>
      </c>
      <c r="X700">
        <f t="shared" si="82"/>
        <v>27755.287999999997</v>
      </c>
      <c r="Y700">
        <f t="shared" si="83"/>
        <v>4003.377999999997</v>
      </c>
      <c r="Z700" s="8">
        <f t="shared" si="84"/>
        <v>0.14423838801456493</v>
      </c>
      <c r="AA700" t="str">
        <f t="shared" si="85"/>
        <v>September</v>
      </c>
      <c r="AB700">
        <f t="shared" si="86"/>
        <v>2024</v>
      </c>
      <c r="AC700" t="str">
        <f t="shared" si="87"/>
        <v>Clean</v>
      </c>
    </row>
    <row r="701" spans="1:29">
      <c r="A701" t="s">
        <v>2176</v>
      </c>
      <c r="B701" s="2">
        <v>45454</v>
      </c>
      <c r="C701" s="2">
        <v>45454</v>
      </c>
      <c r="D701" s="3">
        <f t="shared" si="80"/>
        <v>0</v>
      </c>
      <c r="E701" t="s">
        <v>2177</v>
      </c>
      <c r="F701" t="s">
        <v>53</v>
      </c>
      <c r="G701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2178</v>
      </c>
      <c r="N701" t="s">
        <v>59</v>
      </c>
      <c r="O701">
        <v>9</v>
      </c>
      <c r="P701">
        <v>1400.11</v>
      </c>
      <c r="Q701" s="6">
        <v>0.25</v>
      </c>
      <c r="R701">
        <v>9450.74</v>
      </c>
      <c r="S701">
        <v>7798.56</v>
      </c>
      <c r="T701">
        <v>1652.18</v>
      </c>
      <c r="U701" t="s">
        <v>32</v>
      </c>
      <c r="V701" t="s">
        <v>33</v>
      </c>
      <c r="W701" s="8">
        <f t="shared" si="81"/>
        <v>0.25</v>
      </c>
      <c r="X701">
        <f t="shared" si="82"/>
        <v>9450.7425000000003</v>
      </c>
      <c r="Y701">
        <f t="shared" si="83"/>
        <v>1652.1824999999999</v>
      </c>
      <c r="Z701" s="8">
        <f t="shared" si="84"/>
        <v>0.17482039109625511</v>
      </c>
      <c r="AA701" t="str">
        <f t="shared" si="85"/>
        <v>June</v>
      </c>
      <c r="AB701">
        <f t="shared" si="86"/>
        <v>2024</v>
      </c>
      <c r="AC701" t="str">
        <f t="shared" si="87"/>
        <v>Clean</v>
      </c>
    </row>
    <row r="702" spans="1:29">
      <c r="A702" t="s">
        <v>2179</v>
      </c>
      <c r="B702" s="2">
        <v>45553</v>
      </c>
      <c r="C702" s="2">
        <v>45556</v>
      </c>
      <c r="D702" s="3">
        <f t="shared" si="80"/>
        <v>3</v>
      </c>
      <c r="E702" t="s">
        <v>2180</v>
      </c>
      <c r="F702" t="s">
        <v>79</v>
      </c>
      <c r="G702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274</v>
      </c>
      <c r="M702" t="s">
        <v>2181</v>
      </c>
      <c r="N702" t="s">
        <v>59</v>
      </c>
      <c r="O702">
        <v>3</v>
      </c>
      <c r="P702">
        <v>3055.9</v>
      </c>
      <c r="Q702" s="6">
        <v>0.15</v>
      </c>
      <c r="R702">
        <v>7792.55</v>
      </c>
      <c r="S702">
        <v>4691.7299999999996</v>
      </c>
      <c r="T702">
        <v>3100.82</v>
      </c>
      <c r="U702" t="s">
        <v>32</v>
      </c>
      <c r="V702" t="s">
        <v>33</v>
      </c>
      <c r="W702" s="8">
        <f t="shared" si="81"/>
        <v>0.15</v>
      </c>
      <c r="X702">
        <f t="shared" si="82"/>
        <v>7792.5450000000001</v>
      </c>
      <c r="Y702">
        <f t="shared" si="83"/>
        <v>3100.8150000000005</v>
      </c>
      <c r="Z702" s="8">
        <f t="shared" si="84"/>
        <v>0.39792070498149201</v>
      </c>
      <c r="AA702" t="str">
        <f t="shared" si="85"/>
        <v>September</v>
      </c>
      <c r="AB702">
        <f t="shared" si="86"/>
        <v>2024</v>
      </c>
      <c r="AC702" t="str">
        <f t="shared" si="87"/>
        <v>Clean</v>
      </c>
    </row>
    <row r="703" spans="1:29">
      <c r="A703" t="s">
        <v>2182</v>
      </c>
      <c r="B703" s="2">
        <v>45412</v>
      </c>
      <c r="C703" s="2">
        <v>45416</v>
      </c>
      <c r="D703" s="3">
        <f t="shared" si="80"/>
        <v>4</v>
      </c>
      <c r="E703" t="s">
        <v>2183</v>
      </c>
      <c r="F703" t="s">
        <v>141</v>
      </c>
      <c r="G703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2184</v>
      </c>
      <c r="N703" t="s">
        <v>44</v>
      </c>
      <c r="O703">
        <v>7</v>
      </c>
      <c r="P703">
        <v>1224.94</v>
      </c>
      <c r="Q703" s="7">
        <v>0</v>
      </c>
      <c r="R703">
        <v>8574.58</v>
      </c>
      <c r="S703">
        <v>6685.81</v>
      </c>
      <c r="T703">
        <v>1888.77</v>
      </c>
      <c r="U703" t="s">
        <v>32</v>
      </c>
      <c r="V703" t="s">
        <v>103</v>
      </c>
      <c r="W703" s="8">
        <f t="shared" si="81"/>
        <v>0</v>
      </c>
      <c r="X703">
        <f t="shared" si="82"/>
        <v>8574.58</v>
      </c>
      <c r="Y703">
        <f t="shared" si="83"/>
        <v>1888.7699999999995</v>
      </c>
      <c r="Z703" s="8">
        <f t="shared" si="84"/>
        <v>0.22027551203674112</v>
      </c>
      <c r="AA703" t="str">
        <f t="shared" si="85"/>
        <v>April</v>
      </c>
      <c r="AB703">
        <f t="shared" si="86"/>
        <v>2024</v>
      </c>
      <c r="AC703" t="str">
        <f t="shared" si="87"/>
        <v>Clean</v>
      </c>
    </row>
    <row r="704" spans="1:29">
      <c r="A704" t="s">
        <v>2185</v>
      </c>
      <c r="B704" s="2">
        <v>45690</v>
      </c>
      <c r="C704" s="2">
        <v>45694</v>
      </c>
      <c r="D704" s="3">
        <f t="shared" si="80"/>
        <v>4</v>
      </c>
      <c r="E704" t="s">
        <v>2186</v>
      </c>
      <c r="F704" t="s">
        <v>23</v>
      </c>
      <c r="G704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2187</v>
      </c>
      <c r="N704" t="s">
        <v>31</v>
      </c>
      <c r="O704">
        <v>3</v>
      </c>
      <c r="P704">
        <v>997.34</v>
      </c>
      <c r="Q704" s="6">
        <v>0.1</v>
      </c>
      <c r="R704">
        <v>2692.82</v>
      </c>
      <c r="S704">
        <v>1820.08</v>
      </c>
      <c r="T704">
        <v>872.74</v>
      </c>
      <c r="U704" t="s">
        <v>32</v>
      </c>
      <c r="V704" t="s">
        <v>33</v>
      </c>
      <c r="W704" s="8">
        <f t="shared" si="81"/>
        <v>0.1</v>
      </c>
      <c r="X704">
        <f t="shared" si="82"/>
        <v>2692.8180000000002</v>
      </c>
      <c r="Y704">
        <f t="shared" si="83"/>
        <v>872.73800000000028</v>
      </c>
      <c r="Z704" s="8">
        <f t="shared" si="84"/>
        <v>0.32409839803506968</v>
      </c>
      <c r="AA704" t="str">
        <f t="shared" si="85"/>
        <v>February</v>
      </c>
      <c r="AB704">
        <f t="shared" si="86"/>
        <v>2025</v>
      </c>
      <c r="AC704" t="str">
        <f t="shared" si="87"/>
        <v>Clean</v>
      </c>
    </row>
    <row r="705" spans="1:29">
      <c r="A705" t="s">
        <v>2188</v>
      </c>
      <c r="B705" s="2">
        <v>45584</v>
      </c>
      <c r="C705" s="2">
        <v>45585</v>
      </c>
      <c r="D705" s="3">
        <f t="shared" si="80"/>
        <v>1</v>
      </c>
      <c r="E705" t="s">
        <v>2189</v>
      </c>
      <c r="F705" t="s">
        <v>89</v>
      </c>
      <c r="G70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2190</v>
      </c>
      <c r="N705" t="s">
        <v>50</v>
      </c>
      <c r="O705">
        <v>1</v>
      </c>
      <c r="P705">
        <v>1150.03</v>
      </c>
      <c r="Q705" s="6">
        <v>0.1</v>
      </c>
      <c r="R705">
        <v>1035.03</v>
      </c>
      <c r="S705">
        <v>854.35</v>
      </c>
      <c r="T705">
        <v>180.68</v>
      </c>
      <c r="U705" t="s">
        <v>32</v>
      </c>
      <c r="V705" t="s">
        <v>33</v>
      </c>
      <c r="W705" s="8">
        <f t="shared" si="81"/>
        <v>0.1</v>
      </c>
      <c r="X705">
        <f t="shared" si="82"/>
        <v>1035.027</v>
      </c>
      <c r="Y705">
        <f t="shared" si="83"/>
        <v>180.67700000000002</v>
      </c>
      <c r="Z705" s="8">
        <f t="shared" si="84"/>
        <v>0.1745625959516032</v>
      </c>
      <c r="AA705" t="str">
        <f t="shared" si="85"/>
        <v>October</v>
      </c>
      <c r="AB705">
        <f t="shared" si="86"/>
        <v>2024</v>
      </c>
      <c r="AC705" t="str">
        <f t="shared" si="87"/>
        <v>Clean</v>
      </c>
    </row>
    <row r="706" spans="1:29">
      <c r="A706" t="s">
        <v>2191</v>
      </c>
      <c r="B706" s="2">
        <v>45364</v>
      </c>
      <c r="C706" s="2">
        <v>45371</v>
      </c>
      <c r="D706" s="3">
        <f t="shared" ref="D706:D769" si="88">C706-B706</f>
        <v>7</v>
      </c>
      <c r="E706" t="s">
        <v>2192</v>
      </c>
      <c r="F706" t="s">
        <v>114</v>
      </c>
      <c r="G706" t="s">
        <v>95</v>
      </c>
      <c r="H706" t="s">
        <v>54</v>
      </c>
      <c r="I706" t="s">
        <v>247</v>
      </c>
      <c r="J706" t="s">
        <v>248</v>
      </c>
      <c r="K706" t="s">
        <v>41</v>
      </c>
      <c r="L706" t="s">
        <v>158</v>
      </c>
      <c r="M706" t="s">
        <v>2193</v>
      </c>
      <c r="N706" s="4" t="s">
        <v>2760</v>
      </c>
      <c r="O706">
        <v>1</v>
      </c>
      <c r="P706">
        <v>2825.63</v>
      </c>
      <c r="Q706" s="6">
        <v>0.15</v>
      </c>
      <c r="R706">
        <v>2401.79</v>
      </c>
      <c r="S706">
        <v>1820.34</v>
      </c>
      <c r="T706">
        <v>581.45000000000005</v>
      </c>
      <c r="U706" t="s">
        <v>32</v>
      </c>
      <c r="V706" t="s">
        <v>33</v>
      </c>
      <c r="W706" s="8">
        <f t="shared" si="81"/>
        <v>0.15</v>
      </c>
      <c r="X706">
        <f t="shared" si="82"/>
        <v>2401.7855</v>
      </c>
      <c r="Y706">
        <f t="shared" si="83"/>
        <v>581.44550000000004</v>
      </c>
      <c r="Z706" s="8">
        <f t="shared" si="84"/>
        <v>0.24208885431276025</v>
      </c>
      <c r="AA706" t="str">
        <f t="shared" si="85"/>
        <v>March</v>
      </c>
      <c r="AB706">
        <f t="shared" si="86"/>
        <v>2024</v>
      </c>
      <c r="AC706" t="str">
        <f t="shared" si="87"/>
        <v>Clean</v>
      </c>
    </row>
    <row r="707" spans="1:29">
      <c r="A707" t="s">
        <v>2194</v>
      </c>
      <c r="B707" s="2">
        <v>45543</v>
      </c>
      <c r="C707" s="2">
        <v>45549</v>
      </c>
      <c r="D707" s="3">
        <f t="shared" si="88"/>
        <v>6</v>
      </c>
      <c r="E707" t="s">
        <v>2195</v>
      </c>
      <c r="F707" t="s">
        <v>141</v>
      </c>
      <c r="G707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2196</v>
      </c>
      <c r="N707" t="s">
        <v>59</v>
      </c>
      <c r="O707">
        <v>5</v>
      </c>
      <c r="P707">
        <v>3371.75</v>
      </c>
      <c r="Q707" s="6">
        <v>0.05</v>
      </c>
      <c r="R707">
        <v>16015.81</v>
      </c>
      <c r="S707">
        <v>11352.38</v>
      </c>
      <c r="T707">
        <v>4663.43</v>
      </c>
      <c r="U707" t="s">
        <v>32</v>
      </c>
      <c r="V707" t="s">
        <v>33</v>
      </c>
      <c r="W707" s="8">
        <f t="shared" ref="W707:W770" si="89">Q707</f>
        <v>0.05</v>
      </c>
      <c r="X707">
        <f t="shared" ref="X707:X770" si="90">O707*P707*(1-W707)</f>
        <v>16015.8125</v>
      </c>
      <c r="Y707">
        <f t="shared" ref="Y707:Y770" si="91">X707-S707</f>
        <v>4663.4325000000008</v>
      </c>
      <c r="Z707" s="8">
        <f t="shared" ref="Z707:Z770" si="92">IF(X707=0,0,Y707/X707)</f>
        <v>0.29117676671102394</v>
      </c>
      <c r="AA707" t="str">
        <f t="shared" ref="AA707:AA770" si="93">TEXT(B707,"mmmm")</f>
        <v>September</v>
      </c>
      <c r="AB707">
        <f t="shared" ref="AB707:AB770" si="94">YEAR(B707)</f>
        <v>2024</v>
      </c>
      <c r="AC707" t="str">
        <f t="shared" ref="AC707:AC770" si="95">IF(Q707&lt;0,"Invalid",IF(D707&lt;0,"Warning","Clean"))</f>
        <v>Clean</v>
      </c>
    </row>
    <row r="708" spans="1:29">
      <c r="A708" t="s">
        <v>2197</v>
      </c>
      <c r="B708" s="2">
        <v>45467</v>
      </c>
      <c r="C708" s="2">
        <v>45471</v>
      </c>
      <c r="D708" s="3">
        <f t="shared" si="88"/>
        <v>4</v>
      </c>
      <c r="E708" t="s">
        <v>2198</v>
      </c>
      <c r="F708" t="s">
        <v>47</v>
      </c>
      <c r="G708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2199</v>
      </c>
      <c r="N708" t="s">
        <v>44</v>
      </c>
      <c r="O708">
        <v>1</v>
      </c>
      <c r="P708">
        <v>2112.75</v>
      </c>
      <c r="Q708" s="6">
        <v>0.1</v>
      </c>
      <c r="R708">
        <v>1901.48</v>
      </c>
      <c r="S708">
        <v>1354.28</v>
      </c>
      <c r="T708">
        <v>547.20000000000005</v>
      </c>
      <c r="U708" t="s">
        <v>32</v>
      </c>
      <c r="V708" t="s">
        <v>33</v>
      </c>
      <c r="W708" s="8">
        <f t="shared" si="89"/>
        <v>0.1</v>
      </c>
      <c r="X708">
        <f t="shared" si="90"/>
        <v>1901.4750000000001</v>
      </c>
      <c r="Y708">
        <f t="shared" si="91"/>
        <v>547.19500000000016</v>
      </c>
      <c r="Z708" s="8">
        <f t="shared" si="92"/>
        <v>0.28777396494826391</v>
      </c>
      <c r="AA708" t="str">
        <f t="shared" si="93"/>
        <v>June</v>
      </c>
      <c r="AB708">
        <f t="shared" si="94"/>
        <v>2024</v>
      </c>
      <c r="AC708" t="str">
        <f t="shared" si="95"/>
        <v>Clean</v>
      </c>
    </row>
    <row r="709" spans="1:29">
      <c r="A709" t="s">
        <v>2200</v>
      </c>
      <c r="B709" s="2">
        <v>45832</v>
      </c>
      <c r="C709" s="2">
        <v>45834</v>
      </c>
      <c r="D709" s="3">
        <f t="shared" si="88"/>
        <v>2</v>
      </c>
      <c r="E709" t="s">
        <v>2201</v>
      </c>
      <c r="F709" t="s">
        <v>71</v>
      </c>
      <c r="G709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2202</v>
      </c>
      <c r="N709" t="s">
        <v>44</v>
      </c>
      <c r="O709">
        <v>5</v>
      </c>
      <c r="P709">
        <v>3722.66</v>
      </c>
      <c r="Q709" s="6">
        <v>0.55000000000000004</v>
      </c>
      <c r="R709">
        <v>16751.97</v>
      </c>
      <c r="S709">
        <v>11678.32</v>
      </c>
      <c r="T709">
        <v>5073.6499999999996</v>
      </c>
      <c r="U709" t="s">
        <v>32</v>
      </c>
      <c r="V709" t="s">
        <v>33</v>
      </c>
      <c r="W709" s="8">
        <f t="shared" si="89"/>
        <v>0.55000000000000004</v>
      </c>
      <c r="X709">
        <f t="shared" si="90"/>
        <v>8375.9849999999988</v>
      </c>
      <c r="Y709">
        <f t="shared" si="91"/>
        <v>-3302.3350000000009</v>
      </c>
      <c r="Z709" s="8">
        <f t="shared" si="92"/>
        <v>-0.39426228676388525</v>
      </c>
      <c r="AA709" t="str">
        <f t="shared" si="93"/>
        <v>June</v>
      </c>
      <c r="AB709">
        <f t="shared" si="94"/>
        <v>2025</v>
      </c>
      <c r="AC709" t="str">
        <f t="shared" si="95"/>
        <v>Clean</v>
      </c>
    </row>
    <row r="710" spans="1:29">
      <c r="A710" t="s">
        <v>2203</v>
      </c>
      <c r="B710" s="2">
        <v>45736</v>
      </c>
      <c r="C710" s="2">
        <v>45742</v>
      </c>
      <c r="D710" s="3">
        <f t="shared" si="88"/>
        <v>6</v>
      </c>
      <c r="E710" t="s">
        <v>2204</v>
      </c>
      <c r="F710" t="s">
        <v>132</v>
      </c>
      <c r="G710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2205</v>
      </c>
      <c r="N710" t="s">
        <v>50</v>
      </c>
      <c r="O710">
        <v>4</v>
      </c>
      <c r="P710">
        <v>4357.66</v>
      </c>
      <c r="Q710" s="6">
        <v>0.05</v>
      </c>
      <c r="R710">
        <v>16559.11</v>
      </c>
      <c r="S710">
        <v>13233.79</v>
      </c>
      <c r="T710">
        <v>3325.32</v>
      </c>
      <c r="U710" t="s">
        <v>32</v>
      </c>
      <c r="V710" t="s">
        <v>33</v>
      </c>
      <c r="W710" s="8">
        <f t="shared" si="89"/>
        <v>0.05</v>
      </c>
      <c r="X710">
        <f t="shared" si="90"/>
        <v>16559.108</v>
      </c>
      <c r="Y710">
        <f t="shared" si="91"/>
        <v>3325.3179999999993</v>
      </c>
      <c r="Z710" s="8">
        <f t="shared" si="92"/>
        <v>0.20081504390212318</v>
      </c>
      <c r="AA710" t="str">
        <f t="shared" si="93"/>
        <v>March</v>
      </c>
      <c r="AB710">
        <f t="shared" si="94"/>
        <v>2025</v>
      </c>
      <c r="AC710" t="str">
        <f t="shared" si="95"/>
        <v>Clean</v>
      </c>
    </row>
    <row r="711" spans="1:29">
      <c r="A711" t="s">
        <v>2206</v>
      </c>
      <c r="B711" s="2">
        <v>45676</v>
      </c>
      <c r="C711" s="2">
        <v>45680</v>
      </c>
      <c r="D711" s="3">
        <f t="shared" si="88"/>
        <v>4</v>
      </c>
      <c r="E711" t="s">
        <v>2207</v>
      </c>
      <c r="F711" t="s">
        <v>264</v>
      </c>
      <c r="G711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2208</v>
      </c>
      <c r="N711" t="s">
        <v>44</v>
      </c>
      <c r="O711">
        <v>7</v>
      </c>
      <c r="P711">
        <v>1363.04</v>
      </c>
      <c r="Q711" s="6">
        <v>0.15</v>
      </c>
      <c r="R711">
        <v>8110.09</v>
      </c>
      <c r="S711">
        <v>6417.32</v>
      </c>
      <c r="T711">
        <v>1692.77</v>
      </c>
      <c r="U711" t="s">
        <v>32</v>
      </c>
      <c r="V711" t="s">
        <v>68</v>
      </c>
      <c r="W711" s="8">
        <f t="shared" si="89"/>
        <v>0.15</v>
      </c>
      <c r="X711">
        <f t="shared" si="90"/>
        <v>8110.0879999999988</v>
      </c>
      <c r="Y711">
        <f t="shared" si="91"/>
        <v>1692.7679999999991</v>
      </c>
      <c r="Z711" s="8">
        <f t="shared" si="92"/>
        <v>0.2087237524426368</v>
      </c>
      <c r="AA711" t="str">
        <f t="shared" si="93"/>
        <v>January</v>
      </c>
      <c r="AB711">
        <f t="shared" si="94"/>
        <v>2025</v>
      </c>
      <c r="AC711" t="str">
        <f t="shared" si="95"/>
        <v>Clean</v>
      </c>
    </row>
    <row r="712" spans="1:29">
      <c r="A712" t="s">
        <v>2209</v>
      </c>
      <c r="B712" s="2">
        <v>45485</v>
      </c>
      <c r="C712" s="2">
        <v>45492</v>
      </c>
      <c r="D712" s="3">
        <f t="shared" si="88"/>
        <v>7</v>
      </c>
      <c r="E712" t="s">
        <v>2210</v>
      </c>
      <c r="F712" t="s">
        <v>71</v>
      </c>
      <c r="G712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2211</v>
      </c>
      <c r="N712" t="s">
        <v>31</v>
      </c>
      <c r="O712">
        <v>5</v>
      </c>
      <c r="P712">
        <v>1559.16</v>
      </c>
      <c r="Q712" s="6">
        <v>0.05</v>
      </c>
      <c r="R712">
        <v>7406.01</v>
      </c>
      <c r="S712">
        <v>5941.74</v>
      </c>
      <c r="T712">
        <v>1464.27</v>
      </c>
      <c r="U712" t="s">
        <v>32</v>
      </c>
      <c r="V712" t="s">
        <v>33</v>
      </c>
      <c r="W712" s="8">
        <f t="shared" si="89"/>
        <v>0.05</v>
      </c>
      <c r="X712">
        <f t="shared" si="90"/>
        <v>7406.01</v>
      </c>
      <c r="Y712">
        <f t="shared" si="91"/>
        <v>1464.2700000000004</v>
      </c>
      <c r="Z712" s="8">
        <f t="shared" si="92"/>
        <v>0.19771374869869207</v>
      </c>
      <c r="AA712" t="str">
        <f t="shared" si="93"/>
        <v>July</v>
      </c>
      <c r="AB712">
        <f t="shared" si="94"/>
        <v>2024</v>
      </c>
      <c r="AC712" t="str">
        <f t="shared" si="95"/>
        <v>Clean</v>
      </c>
    </row>
    <row r="713" spans="1:29">
      <c r="A713" t="s">
        <v>2212</v>
      </c>
      <c r="B713" s="2">
        <v>45690</v>
      </c>
      <c r="C713" s="2">
        <v>45690</v>
      </c>
      <c r="D713" s="3">
        <f t="shared" si="88"/>
        <v>0</v>
      </c>
      <c r="E713" t="s">
        <v>2213</v>
      </c>
      <c r="F713" t="s">
        <v>264</v>
      </c>
      <c r="G713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274</v>
      </c>
      <c r="M713" t="s">
        <v>2214</v>
      </c>
      <c r="N713" t="s">
        <v>50</v>
      </c>
      <c r="O713">
        <v>1</v>
      </c>
      <c r="P713">
        <v>4326.75</v>
      </c>
      <c r="Q713" s="6">
        <v>0.05</v>
      </c>
      <c r="R713">
        <v>4110.41</v>
      </c>
      <c r="S713">
        <v>2394.14</v>
      </c>
      <c r="T713">
        <v>1716.27</v>
      </c>
      <c r="U713" t="s">
        <v>111</v>
      </c>
      <c r="V713" t="s">
        <v>103</v>
      </c>
      <c r="W713" s="8">
        <f t="shared" si="89"/>
        <v>0.05</v>
      </c>
      <c r="X713">
        <f t="shared" si="90"/>
        <v>4110.4124999999995</v>
      </c>
      <c r="Y713">
        <f t="shared" si="91"/>
        <v>1716.2724999999996</v>
      </c>
      <c r="Z713" s="8">
        <f t="shared" si="92"/>
        <v>0.41754264322619683</v>
      </c>
      <c r="AA713" t="str">
        <f t="shared" si="93"/>
        <v>February</v>
      </c>
      <c r="AB713">
        <f t="shared" si="94"/>
        <v>2025</v>
      </c>
      <c r="AC713" t="str">
        <f t="shared" si="95"/>
        <v>Clean</v>
      </c>
    </row>
    <row r="714" spans="1:29">
      <c r="A714" t="s">
        <v>2215</v>
      </c>
      <c r="B714" s="2">
        <v>45332</v>
      </c>
      <c r="C714" s="2">
        <v>45340</v>
      </c>
      <c r="D714" s="3">
        <f t="shared" si="88"/>
        <v>8</v>
      </c>
      <c r="E714" t="s">
        <v>2216</v>
      </c>
      <c r="F714" t="s">
        <v>47</v>
      </c>
      <c r="G714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2217</v>
      </c>
      <c r="N714" t="s">
        <v>50</v>
      </c>
      <c r="O714">
        <v>7</v>
      </c>
      <c r="P714">
        <v>1382.86</v>
      </c>
      <c r="Q714" s="7">
        <v>0</v>
      </c>
      <c r="R714">
        <v>9680.02</v>
      </c>
      <c r="S714">
        <v>6876.66</v>
      </c>
      <c r="T714">
        <v>2803.36</v>
      </c>
      <c r="U714" t="s">
        <v>32</v>
      </c>
      <c r="V714" t="s">
        <v>33</v>
      </c>
      <c r="W714" s="8">
        <f t="shared" si="89"/>
        <v>0</v>
      </c>
      <c r="X714">
        <f t="shared" si="90"/>
        <v>9680.0199999999986</v>
      </c>
      <c r="Y714">
        <f t="shared" si="91"/>
        <v>2803.3599999999988</v>
      </c>
      <c r="Z714" s="8">
        <f t="shared" si="92"/>
        <v>0.28960270743242256</v>
      </c>
      <c r="AA714" t="str">
        <f t="shared" si="93"/>
        <v>February</v>
      </c>
      <c r="AB714">
        <f t="shared" si="94"/>
        <v>2024</v>
      </c>
      <c r="AC714" t="str">
        <f t="shared" si="95"/>
        <v>Clean</v>
      </c>
    </row>
    <row r="715" spans="1:29">
      <c r="A715" t="s">
        <v>2218</v>
      </c>
      <c r="B715" s="2">
        <v>45814</v>
      </c>
      <c r="C715" s="2">
        <v>45818</v>
      </c>
      <c r="D715" s="3">
        <f t="shared" si="88"/>
        <v>4</v>
      </c>
      <c r="E715" t="s">
        <v>598</v>
      </c>
      <c r="F715" t="s">
        <v>36</v>
      </c>
      <c r="G71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274</v>
      </c>
      <c r="M715" t="s">
        <v>2219</v>
      </c>
      <c r="N715" t="s">
        <v>31</v>
      </c>
      <c r="O715">
        <v>1</v>
      </c>
      <c r="P715">
        <v>289.97000000000003</v>
      </c>
      <c r="Q715" s="6">
        <v>0.25</v>
      </c>
      <c r="R715">
        <v>217.48</v>
      </c>
      <c r="S715">
        <v>132.13</v>
      </c>
      <c r="T715">
        <v>85.35</v>
      </c>
      <c r="U715" t="s">
        <v>32</v>
      </c>
      <c r="V715" t="s">
        <v>33</v>
      </c>
      <c r="W715" s="8">
        <f t="shared" si="89"/>
        <v>0.25</v>
      </c>
      <c r="X715">
        <f t="shared" si="90"/>
        <v>217.47750000000002</v>
      </c>
      <c r="Y715">
        <f t="shared" si="91"/>
        <v>85.347500000000025</v>
      </c>
      <c r="Z715" s="8">
        <f t="shared" si="92"/>
        <v>0.39244289639158081</v>
      </c>
      <c r="AA715" t="str">
        <f t="shared" si="93"/>
        <v>June</v>
      </c>
      <c r="AB715">
        <f t="shared" si="94"/>
        <v>2025</v>
      </c>
      <c r="AC715" t="str">
        <f t="shared" si="95"/>
        <v>Clean</v>
      </c>
    </row>
    <row r="716" spans="1:29">
      <c r="A716" t="s">
        <v>2220</v>
      </c>
      <c r="B716" s="2">
        <v>45738</v>
      </c>
      <c r="C716" s="2">
        <v>45739</v>
      </c>
      <c r="D716" s="3">
        <f t="shared" si="88"/>
        <v>1</v>
      </c>
      <c r="E716" t="s">
        <v>2221</v>
      </c>
      <c r="F716" t="s">
        <v>23</v>
      </c>
      <c r="G716" t="s">
        <v>95</v>
      </c>
      <c r="H716" t="s">
        <v>25</v>
      </c>
      <c r="I716" t="s">
        <v>350</v>
      </c>
      <c r="J716" t="s">
        <v>351</v>
      </c>
      <c r="K716" t="s">
        <v>74</v>
      </c>
      <c r="L716" t="s">
        <v>80</v>
      </c>
      <c r="M716" t="s">
        <v>2222</v>
      </c>
      <c r="N716" t="s">
        <v>59</v>
      </c>
      <c r="O716">
        <v>9</v>
      </c>
      <c r="P716">
        <v>2075.02</v>
      </c>
      <c r="Q716" s="7">
        <v>0</v>
      </c>
      <c r="R716">
        <v>18675.18</v>
      </c>
      <c r="S716">
        <v>13974.7</v>
      </c>
      <c r="T716">
        <v>4700.4799999999996</v>
      </c>
      <c r="U716" t="s">
        <v>32</v>
      </c>
      <c r="V716" t="s">
        <v>33</v>
      </c>
      <c r="W716" s="8">
        <f t="shared" si="89"/>
        <v>0</v>
      </c>
      <c r="X716">
        <f t="shared" si="90"/>
        <v>18675.18</v>
      </c>
      <c r="Y716">
        <f t="shared" si="91"/>
        <v>4700.4799999999996</v>
      </c>
      <c r="Z716" s="8">
        <f t="shared" si="92"/>
        <v>0.25169663692665878</v>
      </c>
      <c r="AA716" t="str">
        <f t="shared" si="93"/>
        <v>March</v>
      </c>
      <c r="AB716">
        <f t="shared" si="94"/>
        <v>2025</v>
      </c>
      <c r="AC716" t="str">
        <f t="shared" si="95"/>
        <v>Clean</v>
      </c>
    </row>
    <row r="717" spans="1:29">
      <c r="A717" t="s">
        <v>2223</v>
      </c>
      <c r="B717" s="2">
        <v>45891</v>
      </c>
      <c r="C717" s="2">
        <v>45896</v>
      </c>
      <c r="D717" s="3">
        <f t="shared" si="88"/>
        <v>5</v>
      </c>
      <c r="E717" t="s">
        <v>2224</v>
      </c>
      <c r="F717" t="s">
        <v>114</v>
      </c>
      <c r="G717" t="s">
        <v>24</v>
      </c>
      <c r="H717" t="s">
        <v>25</v>
      </c>
      <c r="I717" t="s">
        <v>236</v>
      </c>
      <c r="J717" t="s">
        <v>237</v>
      </c>
      <c r="K717" t="s">
        <v>41</v>
      </c>
      <c r="L717" t="s">
        <v>66</v>
      </c>
      <c r="M717" t="s">
        <v>2225</v>
      </c>
      <c r="N717" t="s">
        <v>31</v>
      </c>
      <c r="O717">
        <v>7</v>
      </c>
      <c r="P717">
        <v>2843.09</v>
      </c>
      <c r="Q717" s="7">
        <v>0</v>
      </c>
      <c r="R717">
        <v>19901.63</v>
      </c>
      <c r="S717">
        <v>15492.03</v>
      </c>
      <c r="T717">
        <v>4409.6000000000004</v>
      </c>
      <c r="U717" t="s">
        <v>102</v>
      </c>
      <c r="V717" t="s">
        <v>68</v>
      </c>
      <c r="W717" s="8">
        <f t="shared" si="89"/>
        <v>0</v>
      </c>
      <c r="X717">
        <f t="shared" si="90"/>
        <v>19901.63</v>
      </c>
      <c r="Y717">
        <f t="shared" si="91"/>
        <v>4409.6000000000004</v>
      </c>
      <c r="Z717" s="8">
        <f t="shared" si="92"/>
        <v>0.22156979101711771</v>
      </c>
      <c r="AA717" t="str">
        <f t="shared" si="93"/>
        <v>August</v>
      </c>
      <c r="AB717">
        <f t="shared" si="94"/>
        <v>2025</v>
      </c>
      <c r="AC717" t="str">
        <f t="shared" si="95"/>
        <v>Clean</v>
      </c>
    </row>
    <row r="718" spans="1:29">
      <c r="A718" t="s">
        <v>2226</v>
      </c>
      <c r="B718" s="2">
        <v>45895</v>
      </c>
      <c r="C718" s="2">
        <v>45900</v>
      </c>
      <c r="D718" s="3">
        <f t="shared" si="88"/>
        <v>5</v>
      </c>
      <c r="E718" t="s">
        <v>2227</v>
      </c>
      <c r="F718" t="s">
        <v>162</v>
      </c>
      <c r="G718" t="s">
        <v>37</v>
      </c>
      <c r="H718" t="s">
        <v>25</v>
      </c>
      <c r="I718" t="s">
        <v>236</v>
      </c>
      <c r="J718" t="s">
        <v>237</v>
      </c>
      <c r="K718" t="s">
        <v>74</v>
      </c>
      <c r="L718" t="s">
        <v>171</v>
      </c>
      <c r="M718" t="s">
        <v>2228</v>
      </c>
      <c r="N718" t="s">
        <v>50</v>
      </c>
      <c r="O718">
        <v>1</v>
      </c>
      <c r="P718">
        <v>3388.02</v>
      </c>
      <c r="Q718" s="6">
        <v>0.15</v>
      </c>
      <c r="R718">
        <v>2879.82</v>
      </c>
      <c r="S718">
        <v>1824.88</v>
      </c>
      <c r="T718">
        <v>1054.94</v>
      </c>
      <c r="U718" t="s">
        <v>32</v>
      </c>
      <c r="V718" t="s">
        <v>33</v>
      </c>
      <c r="W718" s="8">
        <f t="shared" si="89"/>
        <v>0.15</v>
      </c>
      <c r="X718">
        <f t="shared" si="90"/>
        <v>2879.817</v>
      </c>
      <c r="Y718">
        <f t="shared" si="91"/>
        <v>1054.9369999999999</v>
      </c>
      <c r="Z718" s="8">
        <f t="shared" si="92"/>
        <v>0.3663208460815392</v>
      </c>
      <c r="AA718" t="str">
        <f t="shared" si="93"/>
        <v>August</v>
      </c>
      <c r="AB718">
        <f t="shared" si="94"/>
        <v>2025</v>
      </c>
      <c r="AC718" t="str">
        <f t="shared" si="95"/>
        <v>Clean</v>
      </c>
    </row>
    <row r="719" spans="1:29">
      <c r="A719" t="s">
        <v>2229</v>
      </c>
      <c r="B719" s="2">
        <v>46001</v>
      </c>
      <c r="C719" s="2">
        <v>45945</v>
      </c>
      <c r="D719" s="5">
        <f t="shared" si="88"/>
        <v>-56</v>
      </c>
      <c r="E719" t="s">
        <v>2230</v>
      </c>
      <c r="F719" t="s">
        <v>264</v>
      </c>
      <c r="G719" t="s">
        <v>37</v>
      </c>
      <c r="H719" t="s">
        <v>25</v>
      </c>
      <c r="I719" t="s">
        <v>236</v>
      </c>
      <c r="J719" t="s">
        <v>237</v>
      </c>
      <c r="K719" t="s">
        <v>74</v>
      </c>
      <c r="L719" t="s">
        <v>274</v>
      </c>
      <c r="M719" t="s">
        <v>2231</v>
      </c>
      <c r="N719" t="s">
        <v>59</v>
      </c>
      <c r="O719">
        <v>9</v>
      </c>
      <c r="P719">
        <v>2598.92</v>
      </c>
      <c r="Q719" s="6">
        <v>0.2</v>
      </c>
      <c r="R719">
        <v>18712.22</v>
      </c>
      <c r="S719">
        <v>11852.22</v>
      </c>
      <c r="T719">
        <v>6860</v>
      </c>
      <c r="U719" t="s">
        <v>111</v>
      </c>
      <c r="V719" t="s">
        <v>68</v>
      </c>
      <c r="W719" s="8">
        <f t="shared" si="89"/>
        <v>0.2</v>
      </c>
      <c r="X719">
        <f t="shared" si="90"/>
        <v>18712.223999999998</v>
      </c>
      <c r="Y719">
        <f t="shared" si="91"/>
        <v>6860.003999999999</v>
      </c>
      <c r="Z719" s="8">
        <f t="shared" si="92"/>
        <v>0.3666054874075898</v>
      </c>
      <c r="AA719" t="str">
        <f t="shared" si="93"/>
        <v>December</v>
      </c>
      <c r="AB719">
        <f t="shared" si="94"/>
        <v>2025</v>
      </c>
      <c r="AC719" t="str">
        <f t="shared" si="95"/>
        <v>Warning</v>
      </c>
    </row>
    <row r="720" spans="1:29">
      <c r="A720" t="s">
        <v>2232</v>
      </c>
      <c r="B720" s="2">
        <v>45541</v>
      </c>
      <c r="C720" s="2">
        <v>45544</v>
      </c>
      <c r="D720" s="3">
        <f t="shared" si="88"/>
        <v>3</v>
      </c>
      <c r="E720" t="s">
        <v>2233</v>
      </c>
      <c r="F720" t="s">
        <v>36</v>
      </c>
      <c r="G720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2234</v>
      </c>
      <c r="N720" t="s">
        <v>44</v>
      </c>
      <c r="O720">
        <v>3</v>
      </c>
      <c r="P720">
        <v>1972.27</v>
      </c>
      <c r="Q720" s="6">
        <v>0.2</v>
      </c>
      <c r="R720">
        <v>4733.45</v>
      </c>
      <c r="S720">
        <v>3672.32</v>
      </c>
      <c r="T720">
        <v>1061.1300000000001</v>
      </c>
      <c r="U720" t="s">
        <v>32</v>
      </c>
      <c r="V720" t="s">
        <v>33</v>
      </c>
      <c r="W720" s="8">
        <f t="shared" si="89"/>
        <v>0.2</v>
      </c>
      <c r="X720">
        <f t="shared" si="90"/>
        <v>4733.4479999999994</v>
      </c>
      <c r="Y720">
        <f t="shared" si="91"/>
        <v>1061.1279999999992</v>
      </c>
      <c r="Z720" s="8">
        <f t="shared" si="92"/>
        <v>0.22417654107534282</v>
      </c>
      <c r="AA720" t="str">
        <f t="shared" si="93"/>
        <v>September</v>
      </c>
      <c r="AB720">
        <f t="shared" si="94"/>
        <v>2024</v>
      </c>
      <c r="AC720" t="str">
        <f t="shared" si="95"/>
        <v>Clean</v>
      </c>
    </row>
    <row r="721" spans="1:29">
      <c r="A721" t="s">
        <v>2235</v>
      </c>
      <c r="B721" s="2">
        <v>45908</v>
      </c>
      <c r="C721" s="2">
        <v>45909</v>
      </c>
      <c r="D721" s="3">
        <f t="shared" si="88"/>
        <v>1</v>
      </c>
      <c r="E721" t="s">
        <v>144</v>
      </c>
      <c r="F721" t="s">
        <v>264</v>
      </c>
      <c r="G721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2236</v>
      </c>
      <c r="N721" t="s">
        <v>44</v>
      </c>
      <c r="O721">
        <v>2</v>
      </c>
      <c r="P721">
        <v>2372.41</v>
      </c>
      <c r="Q721" s="6">
        <v>0.2</v>
      </c>
      <c r="R721">
        <v>3795.86</v>
      </c>
      <c r="S721">
        <v>2264.92</v>
      </c>
      <c r="T721">
        <v>1530.94</v>
      </c>
      <c r="U721" t="s">
        <v>32</v>
      </c>
      <c r="V721" t="s">
        <v>33</v>
      </c>
      <c r="W721" s="8">
        <f t="shared" si="89"/>
        <v>0.2</v>
      </c>
      <c r="X721">
        <f t="shared" si="90"/>
        <v>3795.8559999999998</v>
      </c>
      <c r="Y721">
        <f t="shared" si="91"/>
        <v>1530.9359999999997</v>
      </c>
      <c r="Z721" s="8">
        <f t="shared" si="92"/>
        <v>0.40331772332775528</v>
      </c>
      <c r="AA721" t="str">
        <f t="shared" si="93"/>
        <v>September</v>
      </c>
      <c r="AB721">
        <f t="shared" si="94"/>
        <v>2025</v>
      </c>
      <c r="AC721" t="str">
        <f t="shared" si="95"/>
        <v>Clean</v>
      </c>
    </row>
    <row r="722" spans="1:29">
      <c r="A722" t="s">
        <v>2237</v>
      </c>
      <c r="B722" s="2">
        <v>45489</v>
      </c>
      <c r="C722" s="2">
        <v>45489</v>
      </c>
      <c r="D722" s="3">
        <f t="shared" si="88"/>
        <v>0</v>
      </c>
      <c r="E722" t="s">
        <v>2238</v>
      </c>
      <c r="F722" t="s">
        <v>89</v>
      </c>
      <c r="G722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2239</v>
      </c>
      <c r="N722" t="s">
        <v>44</v>
      </c>
      <c r="O722">
        <v>4</v>
      </c>
      <c r="P722">
        <v>4479.92</v>
      </c>
      <c r="Q722" s="6">
        <v>0.15</v>
      </c>
      <c r="R722">
        <v>15231.73</v>
      </c>
      <c r="S722">
        <v>12451.46</v>
      </c>
      <c r="T722">
        <v>2780.27</v>
      </c>
      <c r="U722" t="s">
        <v>32</v>
      </c>
      <c r="V722" t="s">
        <v>33</v>
      </c>
      <c r="W722" s="8">
        <f t="shared" si="89"/>
        <v>0.15</v>
      </c>
      <c r="X722">
        <f t="shared" si="90"/>
        <v>15231.727999999999</v>
      </c>
      <c r="Y722">
        <f t="shared" si="91"/>
        <v>2780.268</v>
      </c>
      <c r="Z722" s="8">
        <f t="shared" si="92"/>
        <v>0.1825313582280356</v>
      </c>
      <c r="AA722" t="str">
        <f t="shared" si="93"/>
        <v>July</v>
      </c>
      <c r="AB722">
        <f t="shared" si="94"/>
        <v>2024</v>
      </c>
      <c r="AC722" t="str">
        <f t="shared" si="95"/>
        <v>Clean</v>
      </c>
    </row>
    <row r="723" spans="1:29">
      <c r="A723" t="s">
        <v>2240</v>
      </c>
      <c r="B723" s="2">
        <v>45827</v>
      </c>
      <c r="C723" s="2">
        <v>45831</v>
      </c>
      <c r="D723" s="3">
        <f t="shared" si="88"/>
        <v>4</v>
      </c>
      <c r="E723" t="s">
        <v>2241</v>
      </c>
      <c r="F723" t="s">
        <v>132</v>
      </c>
      <c r="G723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2242</v>
      </c>
      <c r="N723" t="s">
        <v>50</v>
      </c>
      <c r="O723">
        <v>5</v>
      </c>
      <c r="P723">
        <v>2729.95</v>
      </c>
      <c r="Q723" s="7">
        <v>0</v>
      </c>
      <c r="R723">
        <v>13649.75</v>
      </c>
      <c r="S723">
        <v>10288.030000000001</v>
      </c>
      <c r="T723">
        <v>3361.72</v>
      </c>
      <c r="U723" t="s">
        <v>32</v>
      </c>
      <c r="V723" t="s">
        <v>33</v>
      </c>
      <c r="W723" s="8">
        <f t="shared" si="89"/>
        <v>0</v>
      </c>
      <c r="X723">
        <f t="shared" si="90"/>
        <v>13649.75</v>
      </c>
      <c r="Y723">
        <f t="shared" si="91"/>
        <v>3361.7199999999993</v>
      </c>
      <c r="Z723" s="8">
        <f t="shared" si="92"/>
        <v>0.24628436418249414</v>
      </c>
      <c r="AA723" t="str">
        <f t="shared" si="93"/>
        <v>June</v>
      </c>
      <c r="AB723">
        <f t="shared" si="94"/>
        <v>2025</v>
      </c>
      <c r="AC723" t="str">
        <f t="shared" si="95"/>
        <v>Clean</v>
      </c>
    </row>
    <row r="724" spans="1:29">
      <c r="A724" t="s">
        <v>2243</v>
      </c>
      <c r="B724" s="2">
        <v>45572</v>
      </c>
      <c r="C724" s="2">
        <v>45575</v>
      </c>
      <c r="D724" s="3">
        <f t="shared" si="88"/>
        <v>3</v>
      </c>
      <c r="E724" t="s">
        <v>2244</v>
      </c>
      <c r="F724" t="s">
        <v>71</v>
      </c>
      <c r="G724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2245</v>
      </c>
      <c r="N724" t="s">
        <v>31</v>
      </c>
      <c r="O724">
        <v>9</v>
      </c>
      <c r="P724">
        <v>481.51</v>
      </c>
      <c r="Q724" s="7">
        <v>0</v>
      </c>
      <c r="R724">
        <v>4333.59</v>
      </c>
      <c r="S724">
        <v>2533.59</v>
      </c>
      <c r="T724">
        <v>1800</v>
      </c>
      <c r="U724" t="s">
        <v>102</v>
      </c>
      <c r="V724" t="s">
        <v>68</v>
      </c>
      <c r="W724" s="8">
        <f t="shared" si="89"/>
        <v>0</v>
      </c>
      <c r="X724">
        <f t="shared" si="90"/>
        <v>4333.59</v>
      </c>
      <c r="Y724">
        <f t="shared" si="91"/>
        <v>1800</v>
      </c>
      <c r="Z724" s="8">
        <f t="shared" si="92"/>
        <v>0.41536001329152039</v>
      </c>
      <c r="AA724" t="str">
        <f t="shared" si="93"/>
        <v>October</v>
      </c>
      <c r="AB724">
        <f t="shared" si="94"/>
        <v>2024</v>
      </c>
      <c r="AC724" t="str">
        <f t="shared" si="95"/>
        <v>Clean</v>
      </c>
    </row>
    <row r="725" spans="1:29">
      <c r="A725" t="s">
        <v>2246</v>
      </c>
      <c r="B725" s="2">
        <v>45936</v>
      </c>
      <c r="C725" s="2">
        <v>45943</v>
      </c>
      <c r="D725" s="3">
        <f t="shared" si="88"/>
        <v>7</v>
      </c>
      <c r="E725" t="s">
        <v>2247</v>
      </c>
      <c r="F725" t="s">
        <v>264</v>
      </c>
      <c r="G725" t="s">
        <v>95</v>
      </c>
      <c r="H725" t="s">
        <v>38</v>
      </c>
      <c r="I725" t="s">
        <v>228</v>
      </c>
      <c r="J725" t="s">
        <v>229</v>
      </c>
      <c r="K725" t="s">
        <v>74</v>
      </c>
      <c r="L725" t="s">
        <v>75</v>
      </c>
      <c r="M725" t="s">
        <v>2248</v>
      </c>
      <c r="N725" t="s">
        <v>59</v>
      </c>
      <c r="O725">
        <v>6</v>
      </c>
      <c r="P725">
        <v>2391.9299999999998</v>
      </c>
      <c r="Q725" s="6">
        <v>0.05</v>
      </c>
      <c r="R725">
        <v>13634</v>
      </c>
      <c r="S725">
        <v>9589.81</v>
      </c>
      <c r="T725">
        <v>4044.19</v>
      </c>
      <c r="U725" t="s">
        <v>155</v>
      </c>
      <c r="V725" t="s">
        <v>103</v>
      </c>
      <c r="W725" s="8">
        <f t="shared" si="89"/>
        <v>0.05</v>
      </c>
      <c r="X725">
        <f t="shared" si="90"/>
        <v>13634.000999999998</v>
      </c>
      <c r="Y725">
        <f t="shared" si="91"/>
        <v>4044.1909999999989</v>
      </c>
      <c r="Z725" s="8">
        <f t="shared" si="92"/>
        <v>0.29662539998346776</v>
      </c>
      <c r="AA725" t="str">
        <f t="shared" si="93"/>
        <v>October</v>
      </c>
      <c r="AB725">
        <f t="shared" si="94"/>
        <v>2025</v>
      </c>
      <c r="AC725" t="str">
        <f t="shared" si="95"/>
        <v>Clean</v>
      </c>
    </row>
    <row r="726" spans="1:29">
      <c r="A726" t="s">
        <v>2249</v>
      </c>
      <c r="B726" s="2">
        <v>45332</v>
      </c>
      <c r="C726" s="2">
        <v>45338</v>
      </c>
      <c r="D726" s="3">
        <f t="shared" si="88"/>
        <v>6</v>
      </c>
      <c r="E726" t="s">
        <v>2250</v>
      </c>
      <c r="F726" t="s">
        <v>23</v>
      </c>
      <c r="G726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2251</v>
      </c>
      <c r="N726" t="s">
        <v>31</v>
      </c>
      <c r="O726">
        <v>3</v>
      </c>
      <c r="P726">
        <v>253.43</v>
      </c>
      <c r="Q726" s="7">
        <v>0</v>
      </c>
      <c r="R726">
        <v>760.29</v>
      </c>
      <c r="S726">
        <v>497.77</v>
      </c>
      <c r="T726">
        <v>262.52</v>
      </c>
      <c r="U726" t="s">
        <v>32</v>
      </c>
      <c r="V726" t="s">
        <v>33</v>
      </c>
      <c r="W726" s="8">
        <f t="shared" si="89"/>
        <v>0</v>
      </c>
      <c r="X726">
        <f t="shared" si="90"/>
        <v>760.29</v>
      </c>
      <c r="Y726">
        <f t="shared" si="91"/>
        <v>262.52</v>
      </c>
      <c r="Z726" s="8">
        <f t="shared" si="92"/>
        <v>0.34528929750489945</v>
      </c>
      <c r="AA726" t="str">
        <f t="shared" si="93"/>
        <v>February</v>
      </c>
      <c r="AB726">
        <f t="shared" si="94"/>
        <v>2024</v>
      </c>
      <c r="AC726" t="str">
        <f t="shared" si="95"/>
        <v>Clean</v>
      </c>
    </row>
    <row r="727" spans="1:29">
      <c r="A727" t="s">
        <v>2252</v>
      </c>
      <c r="B727" s="2">
        <v>45935</v>
      </c>
      <c r="C727" s="2">
        <v>45942</v>
      </c>
      <c r="D727" s="3">
        <f t="shared" si="88"/>
        <v>7</v>
      </c>
      <c r="E727" t="s">
        <v>2253</v>
      </c>
      <c r="F727" t="s">
        <v>114</v>
      </c>
      <c r="G727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2254</v>
      </c>
      <c r="N727" t="s">
        <v>31</v>
      </c>
      <c r="O727">
        <v>7</v>
      </c>
      <c r="P727">
        <v>2134.73</v>
      </c>
      <c r="Q727" s="7">
        <v>0</v>
      </c>
      <c r="R727">
        <v>14943.11</v>
      </c>
      <c r="S727">
        <v>8521.5</v>
      </c>
      <c r="T727">
        <v>6421.61</v>
      </c>
      <c r="U727" t="s">
        <v>32</v>
      </c>
      <c r="V727" t="s">
        <v>33</v>
      </c>
      <c r="W727" s="8">
        <f t="shared" si="89"/>
        <v>0</v>
      </c>
      <c r="X727">
        <f t="shared" si="90"/>
        <v>14943.11</v>
      </c>
      <c r="Y727">
        <f t="shared" si="91"/>
        <v>6421.6100000000006</v>
      </c>
      <c r="Z727" s="8">
        <f t="shared" si="92"/>
        <v>0.42973718322357263</v>
      </c>
      <c r="AA727" t="str">
        <f t="shared" si="93"/>
        <v>October</v>
      </c>
      <c r="AB727">
        <f t="shared" si="94"/>
        <v>2025</v>
      </c>
      <c r="AC727" t="str">
        <f t="shared" si="95"/>
        <v>Clean</v>
      </c>
    </row>
    <row r="728" spans="1:29">
      <c r="A728" t="s">
        <v>2255</v>
      </c>
      <c r="B728" s="2">
        <v>45308</v>
      </c>
      <c r="C728" s="2">
        <v>45314</v>
      </c>
      <c r="D728" s="3">
        <f t="shared" si="88"/>
        <v>6</v>
      </c>
      <c r="E728" t="s">
        <v>2256</v>
      </c>
      <c r="F728" t="s">
        <v>264</v>
      </c>
      <c r="G728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2257</v>
      </c>
      <c r="N728" t="s">
        <v>59</v>
      </c>
      <c r="O728">
        <v>5</v>
      </c>
      <c r="P728">
        <v>2018</v>
      </c>
      <c r="Q728" s="6">
        <v>0.2</v>
      </c>
      <c r="R728">
        <v>8072</v>
      </c>
      <c r="S728">
        <v>5379.22</v>
      </c>
      <c r="T728">
        <v>2692.78</v>
      </c>
      <c r="U728" t="s">
        <v>111</v>
      </c>
      <c r="V728" t="s">
        <v>103</v>
      </c>
      <c r="W728" s="8">
        <f t="shared" si="89"/>
        <v>0.2</v>
      </c>
      <c r="X728">
        <f t="shared" si="90"/>
        <v>8072</v>
      </c>
      <c r="Y728">
        <f t="shared" si="91"/>
        <v>2692.7799999999997</v>
      </c>
      <c r="Z728" s="8">
        <f t="shared" si="92"/>
        <v>0.33359514370664023</v>
      </c>
      <c r="AA728" t="str">
        <f t="shared" si="93"/>
        <v>January</v>
      </c>
      <c r="AB728">
        <f t="shared" si="94"/>
        <v>2024</v>
      </c>
      <c r="AC728" t="str">
        <f t="shared" si="95"/>
        <v>Clean</v>
      </c>
    </row>
    <row r="729" spans="1:29">
      <c r="A729" t="s">
        <v>2258</v>
      </c>
      <c r="B729" s="2">
        <v>45578</v>
      </c>
      <c r="C729" s="2">
        <v>45578</v>
      </c>
      <c r="D729" s="3">
        <f t="shared" si="88"/>
        <v>0</v>
      </c>
      <c r="E729" t="s">
        <v>2259</v>
      </c>
      <c r="F729" t="s">
        <v>128</v>
      </c>
      <c r="G729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2260</v>
      </c>
      <c r="N729" t="s">
        <v>31</v>
      </c>
      <c r="O729">
        <v>8</v>
      </c>
      <c r="P729">
        <v>3730.66</v>
      </c>
      <c r="Q729" s="6">
        <v>0.05</v>
      </c>
      <c r="R729">
        <v>28353.02</v>
      </c>
      <c r="S729">
        <v>19257.849999999999</v>
      </c>
      <c r="T729">
        <v>9095.17</v>
      </c>
      <c r="U729" t="s">
        <v>32</v>
      </c>
      <c r="V729" t="s">
        <v>33</v>
      </c>
      <c r="W729" s="8">
        <f t="shared" si="89"/>
        <v>0.05</v>
      </c>
      <c r="X729">
        <f t="shared" si="90"/>
        <v>28353.015999999996</v>
      </c>
      <c r="Y729">
        <f t="shared" si="91"/>
        <v>9095.1659999999974</v>
      </c>
      <c r="Z729" s="8">
        <f t="shared" si="92"/>
        <v>0.3207830165228277</v>
      </c>
      <c r="AA729" t="str">
        <f t="shared" si="93"/>
        <v>October</v>
      </c>
      <c r="AB729">
        <f t="shared" si="94"/>
        <v>2024</v>
      </c>
      <c r="AC729" t="str">
        <f t="shared" si="95"/>
        <v>Clean</v>
      </c>
    </row>
    <row r="730" spans="1:29">
      <c r="A730" t="s">
        <v>2261</v>
      </c>
      <c r="B730" s="2">
        <v>45295</v>
      </c>
      <c r="C730" s="2">
        <v>45474</v>
      </c>
      <c r="D730" s="3">
        <f t="shared" si="88"/>
        <v>179</v>
      </c>
      <c r="E730" t="s">
        <v>2262</v>
      </c>
      <c r="F730" t="s">
        <v>132</v>
      </c>
      <c r="G730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274</v>
      </c>
      <c r="M730" t="s">
        <v>2263</v>
      </c>
      <c r="N730" t="s">
        <v>50</v>
      </c>
      <c r="O730">
        <v>1</v>
      </c>
      <c r="P730">
        <v>2363.02</v>
      </c>
      <c r="Q730" s="6">
        <v>0.15</v>
      </c>
      <c r="R730">
        <v>2008.57</v>
      </c>
      <c r="S730">
        <v>1194.83</v>
      </c>
      <c r="T730">
        <v>813.74</v>
      </c>
      <c r="U730" t="s">
        <v>32</v>
      </c>
      <c r="V730" t="s">
        <v>33</v>
      </c>
      <c r="W730" s="8">
        <f t="shared" si="89"/>
        <v>0.15</v>
      </c>
      <c r="X730">
        <f t="shared" si="90"/>
        <v>2008.567</v>
      </c>
      <c r="Y730">
        <f t="shared" si="91"/>
        <v>813.73700000000008</v>
      </c>
      <c r="Z730" s="8">
        <f t="shared" si="92"/>
        <v>0.40513311231340554</v>
      </c>
      <c r="AA730" t="str">
        <f t="shared" si="93"/>
        <v>January</v>
      </c>
      <c r="AB730">
        <f t="shared" si="94"/>
        <v>2024</v>
      </c>
      <c r="AC730" t="str">
        <f t="shared" si="95"/>
        <v>Clean</v>
      </c>
    </row>
    <row r="731" spans="1:29">
      <c r="A731" t="s">
        <v>2264</v>
      </c>
      <c r="B731" s="2">
        <v>45794</v>
      </c>
      <c r="C731" s="2">
        <v>45802</v>
      </c>
      <c r="D731" s="3">
        <f t="shared" si="88"/>
        <v>8</v>
      </c>
      <c r="E731" t="s">
        <v>2265</v>
      </c>
      <c r="F731" t="s">
        <v>62</v>
      </c>
      <c r="G731" t="s">
        <v>90</v>
      </c>
      <c r="H731" t="s">
        <v>54</v>
      </c>
      <c r="I731" t="s">
        <v>247</v>
      </c>
      <c r="J731" t="s">
        <v>248</v>
      </c>
      <c r="K731" t="s">
        <v>74</v>
      </c>
      <c r="L731" t="s">
        <v>274</v>
      </c>
      <c r="M731" t="s">
        <v>2266</v>
      </c>
      <c r="N731" t="s">
        <v>44</v>
      </c>
      <c r="O731">
        <v>6</v>
      </c>
      <c r="P731">
        <v>1810.63</v>
      </c>
      <c r="Q731" s="6">
        <v>0.15</v>
      </c>
      <c r="R731">
        <v>9234.2099999999991</v>
      </c>
      <c r="S731">
        <v>5516.52</v>
      </c>
      <c r="T731">
        <v>3717.69</v>
      </c>
      <c r="U731" t="s">
        <v>32</v>
      </c>
      <c r="V731" t="s">
        <v>33</v>
      </c>
      <c r="W731" s="8">
        <f t="shared" si="89"/>
        <v>0.15</v>
      </c>
      <c r="X731">
        <f t="shared" si="90"/>
        <v>9234.2129999999997</v>
      </c>
      <c r="Y731">
        <f t="shared" si="91"/>
        <v>3717.6929999999993</v>
      </c>
      <c r="Z731" s="8">
        <f t="shared" si="92"/>
        <v>0.40259987505161504</v>
      </c>
      <c r="AA731" t="str">
        <f t="shared" si="93"/>
        <v>May</v>
      </c>
      <c r="AB731">
        <f t="shared" si="94"/>
        <v>2025</v>
      </c>
      <c r="AC731" t="str">
        <f t="shared" si="95"/>
        <v>Clean</v>
      </c>
    </row>
    <row r="732" spans="1:29">
      <c r="A732" t="s">
        <v>2267</v>
      </c>
      <c r="B732" s="2">
        <v>45827</v>
      </c>
      <c r="C732" s="2">
        <v>45832</v>
      </c>
      <c r="D732" s="3">
        <f t="shared" si="88"/>
        <v>5</v>
      </c>
      <c r="E732" t="s">
        <v>2268</v>
      </c>
      <c r="F732" t="s">
        <v>53</v>
      </c>
      <c r="G732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2269</v>
      </c>
      <c r="N732" t="s">
        <v>31</v>
      </c>
      <c r="O732">
        <v>4</v>
      </c>
      <c r="P732">
        <v>782.01</v>
      </c>
      <c r="Q732" s="6">
        <v>0.15</v>
      </c>
      <c r="R732">
        <v>2658.83</v>
      </c>
      <c r="S732">
        <v>2226.9699999999998</v>
      </c>
      <c r="T732">
        <v>431.86</v>
      </c>
      <c r="U732" t="s">
        <v>102</v>
      </c>
      <c r="V732" t="s">
        <v>103</v>
      </c>
      <c r="W732" s="8">
        <f t="shared" si="89"/>
        <v>0.15</v>
      </c>
      <c r="X732">
        <f t="shared" si="90"/>
        <v>2658.8339999999998</v>
      </c>
      <c r="Y732">
        <f t="shared" si="91"/>
        <v>431.86400000000003</v>
      </c>
      <c r="Z732" s="8">
        <f t="shared" si="92"/>
        <v>0.16242608602116568</v>
      </c>
      <c r="AA732" t="str">
        <f t="shared" si="93"/>
        <v>June</v>
      </c>
      <c r="AB732">
        <f t="shared" si="94"/>
        <v>2025</v>
      </c>
      <c r="AC732" t="str">
        <f t="shared" si="95"/>
        <v>Clean</v>
      </c>
    </row>
    <row r="733" spans="1:29">
      <c r="A733" t="s">
        <v>2270</v>
      </c>
      <c r="B733" s="2">
        <v>45368</v>
      </c>
      <c r="C733" s="2">
        <v>45370</v>
      </c>
      <c r="D733" s="3">
        <f t="shared" si="88"/>
        <v>2</v>
      </c>
      <c r="E733" t="s">
        <v>2271</v>
      </c>
      <c r="F733" t="s">
        <v>62</v>
      </c>
      <c r="G733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2272</v>
      </c>
      <c r="N733" t="s">
        <v>50</v>
      </c>
      <c r="O733">
        <v>4</v>
      </c>
      <c r="P733">
        <v>4376.68</v>
      </c>
      <c r="Q733" s="6">
        <v>0.1</v>
      </c>
      <c r="R733">
        <v>15756.05</v>
      </c>
      <c r="S733">
        <v>10245.44</v>
      </c>
      <c r="T733">
        <v>5510.61</v>
      </c>
      <c r="U733" t="s">
        <v>32</v>
      </c>
      <c r="V733" t="s">
        <v>33</v>
      </c>
      <c r="W733" s="8">
        <f t="shared" si="89"/>
        <v>0.1</v>
      </c>
      <c r="X733">
        <f t="shared" si="90"/>
        <v>15756.048000000001</v>
      </c>
      <c r="Y733">
        <f t="shared" si="91"/>
        <v>5510.6080000000002</v>
      </c>
      <c r="Z733" s="8">
        <f t="shared" si="92"/>
        <v>0.3497455707167178</v>
      </c>
      <c r="AA733" t="str">
        <f t="shared" si="93"/>
        <v>March</v>
      </c>
      <c r="AB733">
        <f t="shared" si="94"/>
        <v>2024</v>
      </c>
      <c r="AC733" t="str">
        <f t="shared" si="95"/>
        <v>Clean</v>
      </c>
    </row>
    <row r="734" spans="1:29">
      <c r="A734" t="s">
        <v>2273</v>
      </c>
      <c r="B734" s="2">
        <v>45624</v>
      </c>
      <c r="C734" s="2">
        <v>45632</v>
      </c>
      <c r="D734" s="3">
        <f t="shared" si="88"/>
        <v>8</v>
      </c>
      <c r="E734" t="s">
        <v>2274</v>
      </c>
      <c r="F734" t="s">
        <v>53</v>
      </c>
      <c r="G734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2275</v>
      </c>
      <c r="N734" t="s">
        <v>59</v>
      </c>
      <c r="O734">
        <v>6</v>
      </c>
      <c r="P734">
        <v>2464.63</v>
      </c>
      <c r="Q734" s="7">
        <v>0</v>
      </c>
      <c r="R734">
        <v>14787.78</v>
      </c>
      <c r="S734">
        <v>8596.65</v>
      </c>
      <c r="T734">
        <v>6191.13</v>
      </c>
      <c r="U734" t="s">
        <v>32</v>
      </c>
      <c r="V734" t="s">
        <v>33</v>
      </c>
      <c r="W734" s="8">
        <f t="shared" si="89"/>
        <v>0</v>
      </c>
      <c r="X734">
        <f t="shared" si="90"/>
        <v>14787.78</v>
      </c>
      <c r="Y734">
        <f t="shared" si="91"/>
        <v>6191.130000000001</v>
      </c>
      <c r="Z734" s="8">
        <f t="shared" si="92"/>
        <v>0.41866527632950995</v>
      </c>
      <c r="AA734" t="str">
        <f t="shared" si="93"/>
        <v>November</v>
      </c>
      <c r="AB734">
        <f t="shared" si="94"/>
        <v>2024</v>
      </c>
      <c r="AC734" t="str">
        <f t="shared" si="95"/>
        <v>Clean</v>
      </c>
    </row>
    <row r="735" spans="1:29">
      <c r="A735" t="s">
        <v>2276</v>
      </c>
      <c r="B735" s="2">
        <v>45464</v>
      </c>
      <c r="C735" s="2">
        <v>45471</v>
      </c>
      <c r="D735" s="3">
        <f t="shared" si="88"/>
        <v>7</v>
      </c>
      <c r="E735" t="s">
        <v>2277</v>
      </c>
      <c r="F735" t="s">
        <v>128</v>
      </c>
      <c r="G73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2278</v>
      </c>
      <c r="N735" t="s">
        <v>50</v>
      </c>
      <c r="O735">
        <v>9</v>
      </c>
      <c r="P735">
        <v>2797.96</v>
      </c>
      <c r="Q735" s="7">
        <v>0</v>
      </c>
      <c r="R735">
        <v>25181.64</v>
      </c>
      <c r="S735">
        <v>15337.9</v>
      </c>
      <c r="T735">
        <v>9843.74</v>
      </c>
      <c r="U735" t="s">
        <v>32</v>
      </c>
      <c r="V735" t="s">
        <v>33</v>
      </c>
      <c r="W735" s="8">
        <f t="shared" si="89"/>
        <v>0</v>
      </c>
      <c r="X735">
        <f t="shared" si="90"/>
        <v>25181.64</v>
      </c>
      <c r="Y735">
        <f t="shared" si="91"/>
        <v>9843.74</v>
      </c>
      <c r="Z735" s="8">
        <f t="shared" si="92"/>
        <v>0.39090940860086953</v>
      </c>
      <c r="AA735" t="str">
        <f t="shared" si="93"/>
        <v>June</v>
      </c>
      <c r="AB735">
        <f t="shared" si="94"/>
        <v>2024</v>
      </c>
      <c r="AC735" t="str">
        <f t="shared" si="95"/>
        <v>Clean</v>
      </c>
    </row>
    <row r="736" spans="1:29">
      <c r="A736" t="s">
        <v>2279</v>
      </c>
      <c r="B736" s="2">
        <v>45528</v>
      </c>
      <c r="C736" s="2">
        <v>45528</v>
      </c>
      <c r="D736" s="3">
        <f t="shared" si="88"/>
        <v>0</v>
      </c>
      <c r="E736" t="s">
        <v>2280</v>
      </c>
      <c r="F736" t="s">
        <v>62</v>
      </c>
      <c r="G736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2281</v>
      </c>
      <c r="N736" t="s">
        <v>50</v>
      </c>
      <c r="O736">
        <v>4</v>
      </c>
      <c r="P736">
        <v>2761.86</v>
      </c>
      <c r="Q736" s="6">
        <v>0.2</v>
      </c>
      <c r="R736">
        <v>8837.9500000000007</v>
      </c>
      <c r="S736">
        <v>6157.27</v>
      </c>
      <c r="T736">
        <v>2680.68</v>
      </c>
      <c r="U736" t="s">
        <v>32</v>
      </c>
      <c r="V736" t="s">
        <v>33</v>
      </c>
      <c r="W736" s="8">
        <f t="shared" si="89"/>
        <v>0.2</v>
      </c>
      <c r="X736">
        <f t="shared" si="90"/>
        <v>8837.9520000000011</v>
      </c>
      <c r="Y736">
        <f t="shared" si="91"/>
        <v>2680.6820000000007</v>
      </c>
      <c r="Z736" s="8">
        <f t="shared" si="92"/>
        <v>0.30331484036120587</v>
      </c>
      <c r="AA736" t="str">
        <f t="shared" si="93"/>
        <v>August</v>
      </c>
      <c r="AB736">
        <f t="shared" si="94"/>
        <v>2024</v>
      </c>
      <c r="AC736" t="str">
        <f t="shared" si="95"/>
        <v>Clean</v>
      </c>
    </row>
    <row r="737" spans="1:29">
      <c r="A737" t="s">
        <v>2282</v>
      </c>
      <c r="B737" s="2">
        <v>45515</v>
      </c>
      <c r="C737" s="2">
        <v>45523</v>
      </c>
      <c r="D737" s="3">
        <f t="shared" si="88"/>
        <v>8</v>
      </c>
      <c r="E737" t="s">
        <v>2283</v>
      </c>
      <c r="F737" t="s">
        <v>36</v>
      </c>
      <c r="G737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2284</v>
      </c>
      <c r="N737" t="s">
        <v>59</v>
      </c>
      <c r="O737">
        <v>6</v>
      </c>
      <c r="P737">
        <v>1515.79</v>
      </c>
      <c r="Q737" s="6">
        <v>0.2</v>
      </c>
      <c r="R737">
        <v>7275.79</v>
      </c>
      <c r="S737">
        <v>6152.87</v>
      </c>
      <c r="T737">
        <v>1122.92</v>
      </c>
      <c r="U737" t="s">
        <v>32</v>
      </c>
      <c r="V737" t="s">
        <v>33</v>
      </c>
      <c r="W737" s="8">
        <f t="shared" si="89"/>
        <v>0.2</v>
      </c>
      <c r="X737">
        <f t="shared" si="90"/>
        <v>7275.7920000000004</v>
      </c>
      <c r="Y737">
        <f t="shared" si="91"/>
        <v>1122.9220000000005</v>
      </c>
      <c r="Z737" s="8">
        <f t="shared" si="92"/>
        <v>0.15433673749881804</v>
      </c>
      <c r="AA737" t="str">
        <f t="shared" si="93"/>
        <v>August</v>
      </c>
      <c r="AB737">
        <f t="shared" si="94"/>
        <v>2024</v>
      </c>
      <c r="AC737" t="str">
        <f t="shared" si="95"/>
        <v>Clean</v>
      </c>
    </row>
    <row r="738" spans="1:29">
      <c r="A738" t="s">
        <v>2285</v>
      </c>
      <c r="B738" s="2">
        <v>45632</v>
      </c>
      <c r="C738" s="2">
        <v>45547</v>
      </c>
      <c r="D738" s="5">
        <f t="shared" si="88"/>
        <v>-85</v>
      </c>
      <c r="E738" t="s">
        <v>2286</v>
      </c>
      <c r="F738" t="s">
        <v>89</v>
      </c>
      <c r="G738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2287</v>
      </c>
      <c r="N738" t="s">
        <v>31</v>
      </c>
      <c r="O738">
        <v>9</v>
      </c>
      <c r="P738">
        <v>290.75</v>
      </c>
      <c r="Q738" s="6">
        <v>0.1</v>
      </c>
      <c r="R738">
        <v>2355.08</v>
      </c>
      <c r="S738">
        <v>1350.03</v>
      </c>
      <c r="T738">
        <v>1005.05</v>
      </c>
      <c r="U738" t="s">
        <v>32</v>
      </c>
      <c r="V738" t="s">
        <v>33</v>
      </c>
      <c r="W738" s="8">
        <f t="shared" si="89"/>
        <v>0.1</v>
      </c>
      <c r="X738">
        <f t="shared" si="90"/>
        <v>2355.0750000000003</v>
      </c>
      <c r="Y738">
        <f t="shared" si="91"/>
        <v>1005.0450000000003</v>
      </c>
      <c r="Z738" s="8">
        <f t="shared" si="92"/>
        <v>0.42675710964618968</v>
      </c>
      <c r="AA738" t="str">
        <f t="shared" si="93"/>
        <v>December</v>
      </c>
      <c r="AB738">
        <f t="shared" si="94"/>
        <v>2024</v>
      </c>
      <c r="AC738" t="str">
        <f t="shared" si="95"/>
        <v>Warning</v>
      </c>
    </row>
    <row r="739" spans="1:29">
      <c r="A739" t="s">
        <v>2288</v>
      </c>
      <c r="B739" s="2">
        <v>45332</v>
      </c>
      <c r="C739" s="2">
        <v>45332</v>
      </c>
      <c r="D739" s="3">
        <f t="shared" si="88"/>
        <v>0</v>
      </c>
      <c r="E739" t="s">
        <v>2289</v>
      </c>
      <c r="F739" t="s">
        <v>47</v>
      </c>
      <c r="G739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2290</v>
      </c>
      <c r="N739" t="s">
        <v>44</v>
      </c>
      <c r="O739">
        <v>6</v>
      </c>
      <c r="P739">
        <v>601.52</v>
      </c>
      <c r="Q739" s="7">
        <v>0</v>
      </c>
      <c r="R739">
        <v>3609.12</v>
      </c>
      <c r="S739">
        <v>2645.5</v>
      </c>
      <c r="T739">
        <v>963.62</v>
      </c>
      <c r="U739" t="s">
        <v>32</v>
      </c>
      <c r="V739" t="s">
        <v>33</v>
      </c>
      <c r="W739" s="8">
        <f t="shared" si="89"/>
        <v>0</v>
      </c>
      <c r="X739">
        <f t="shared" si="90"/>
        <v>3609.12</v>
      </c>
      <c r="Y739">
        <f t="shared" si="91"/>
        <v>963.61999999999989</v>
      </c>
      <c r="Z739" s="8">
        <f t="shared" si="92"/>
        <v>0.2669958327791816</v>
      </c>
      <c r="AA739" t="str">
        <f t="shared" si="93"/>
        <v>February</v>
      </c>
      <c r="AB739">
        <f t="shared" si="94"/>
        <v>2024</v>
      </c>
      <c r="AC739" t="str">
        <f t="shared" si="95"/>
        <v>Clean</v>
      </c>
    </row>
    <row r="740" spans="1:29">
      <c r="A740" t="s">
        <v>2291</v>
      </c>
      <c r="B740" s="2">
        <v>45708</v>
      </c>
      <c r="C740" s="2">
        <v>45710</v>
      </c>
      <c r="D740" s="3">
        <f t="shared" si="88"/>
        <v>2</v>
      </c>
      <c r="E740" t="s">
        <v>2292</v>
      </c>
      <c r="F740" t="s">
        <v>114</v>
      </c>
      <c r="G740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2293</v>
      </c>
      <c r="N740" t="s">
        <v>50</v>
      </c>
      <c r="O740">
        <v>1</v>
      </c>
      <c r="P740">
        <v>2188.19</v>
      </c>
      <c r="Q740" s="7">
        <v>0</v>
      </c>
      <c r="R740">
        <v>2188.19</v>
      </c>
      <c r="S740">
        <v>1298.8399999999999</v>
      </c>
      <c r="T740">
        <v>889.35</v>
      </c>
      <c r="U740" t="s">
        <v>32</v>
      </c>
      <c r="V740" t="s">
        <v>33</v>
      </c>
      <c r="W740" s="8">
        <f t="shared" si="89"/>
        <v>0</v>
      </c>
      <c r="X740">
        <f t="shared" si="90"/>
        <v>2188.19</v>
      </c>
      <c r="Y740">
        <f t="shared" si="91"/>
        <v>889.35000000000014</v>
      </c>
      <c r="Z740" s="8">
        <f t="shared" si="92"/>
        <v>0.40643179979800664</v>
      </c>
      <c r="AA740" t="str">
        <f t="shared" si="93"/>
        <v>February</v>
      </c>
      <c r="AB740">
        <f t="shared" si="94"/>
        <v>2025</v>
      </c>
      <c r="AC740" t="str">
        <f t="shared" si="95"/>
        <v>Clean</v>
      </c>
    </row>
    <row r="741" spans="1:29">
      <c r="A741" t="s">
        <v>2294</v>
      </c>
      <c r="B741" s="2">
        <v>45629</v>
      </c>
      <c r="C741" s="2">
        <v>45636</v>
      </c>
      <c r="D741" s="3">
        <f t="shared" si="88"/>
        <v>7</v>
      </c>
      <c r="E741" t="s">
        <v>2295</v>
      </c>
      <c r="F741" t="s">
        <v>79</v>
      </c>
      <c r="G741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2296</v>
      </c>
      <c r="N741" t="s">
        <v>59</v>
      </c>
      <c r="O741">
        <v>5</v>
      </c>
      <c r="P741">
        <v>2393.86</v>
      </c>
      <c r="Q741" s="6">
        <v>0.05</v>
      </c>
      <c r="R741">
        <v>11370.84</v>
      </c>
      <c r="S741">
        <v>7469.58</v>
      </c>
      <c r="T741">
        <v>3901.26</v>
      </c>
      <c r="U741" t="s">
        <v>32</v>
      </c>
      <c r="V741" t="s">
        <v>33</v>
      </c>
      <c r="W741" s="8">
        <f t="shared" si="89"/>
        <v>0.05</v>
      </c>
      <c r="X741">
        <f t="shared" si="90"/>
        <v>11370.835000000001</v>
      </c>
      <c r="Y741">
        <f t="shared" si="91"/>
        <v>3901.255000000001</v>
      </c>
      <c r="Z741" s="8">
        <f t="shared" si="92"/>
        <v>0.34309309738466881</v>
      </c>
      <c r="AA741" t="str">
        <f t="shared" si="93"/>
        <v>December</v>
      </c>
      <c r="AB741">
        <f t="shared" si="94"/>
        <v>2024</v>
      </c>
      <c r="AC741" t="str">
        <f t="shared" si="95"/>
        <v>Clean</v>
      </c>
    </row>
    <row r="742" spans="1:29">
      <c r="A742" t="s">
        <v>2297</v>
      </c>
      <c r="B742" s="2">
        <v>45384</v>
      </c>
      <c r="C742" s="2">
        <v>45384</v>
      </c>
      <c r="D742" s="3">
        <f t="shared" si="88"/>
        <v>0</v>
      </c>
      <c r="E742" t="s">
        <v>521</v>
      </c>
      <c r="F742" t="s">
        <v>132</v>
      </c>
      <c r="G742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2298</v>
      </c>
      <c r="N742" t="s">
        <v>50</v>
      </c>
      <c r="O742">
        <v>4</v>
      </c>
      <c r="P742">
        <v>2583</v>
      </c>
      <c r="Q742" s="6">
        <v>0.1</v>
      </c>
      <c r="R742">
        <v>9298.7999999999993</v>
      </c>
      <c r="S742">
        <v>6548.5</v>
      </c>
      <c r="T742">
        <v>2750.3</v>
      </c>
      <c r="U742" t="s">
        <v>32</v>
      </c>
      <c r="V742" t="s">
        <v>33</v>
      </c>
      <c r="W742" s="8">
        <f t="shared" si="89"/>
        <v>0.1</v>
      </c>
      <c r="X742">
        <f t="shared" si="90"/>
        <v>9298.8000000000011</v>
      </c>
      <c r="Y742">
        <f t="shared" si="91"/>
        <v>2750.3000000000011</v>
      </c>
      <c r="Z742" s="8">
        <f t="shared" si="92"/>
        <v>0.29576934658235482</v>
      </c>
      <c r="AA742" t="str">
        <f t="shared" si="93"/>
        <v>April</v>
      </c>
      <c r="AB742">
        <f t="shared" si="94"/>
        <v>2024</v>
      </c>
      <c r="AC742" t="str">
        <f t="shared" si="95"/>
        <v>Clean</v>
      </c>
    </row>
    <row r="743" spans="1:29">
      <c r="A743" t="s">
        <v>2299</v>
      </c>
      <c r="B743" s="2">
        <v>45770</v>
      </c>
      <c r="C743" s="2">
        <v>45772</v>
      </c>
      <c r="D743" s="3">
        <f t="shared" si="88"/>
        <v>2</v>
      </c>
      <c r="E743" t="s">
        <v>2300</v>
      </c>
      <c r="F743" t="s">
        <v>47</v>
      </c>
      <c r="G743" t="s">
        <v>95</v>
      </c>
      <c r="H743" t="s">
        <v>54</v>
      </c>
      <c r="I743" t="s">
        <v>247</v>
      </c>
      <c r="J743" t="s">
        <v>248</v>
      </c>
      <c r="K743" t="s">
        <v>41</v>
      </c>
      <c r="L743" t="s">
        <v>66</v>
      </c>
      <c r="M743" t="s">
        <v>2301</v>
      </c>
      <c r="N743" t="s">
        <v>31</v>
      </c>
      <c r="O743">
        <v>3</v>
      </c>
      <c r="P743">
        <v>2951.12</v>
      </c>
      <c r="Q743" s="7">
        <v>0</v>
      </c>
      <c r="R743">
        <v>7082.69</v>
      </c>
      <c r="S743">
        <v>5596.34</v>
      </c>
      <c r="T743">
        <v>1486.35</v>
      </c>
      <c r="U743" t="s">
        <v>32</v>
      </c>
      <c r="V743" t="s">
        <v>68</v>
      </c>
      <c r="W743" s="8">
        <f t="shared" si="89"/>
        <v>0</v>
      </c>
      <c r="X743">
        <f t="shared" si="90"/>
        <v>8853.36</v>
      </c>
      <c r="Y743">
        <f t="shared" si="91"/>
        <v>3257.0200000000004</v>
      </c>
      <c r="Z743" s="8">
        <f t="shared" si="92"/>
        <v>0.36788518709280998</v>
      </c>
      <c r="AA743" t="str">
        <f t="shared" si="93"/>
        <v>April</v>
      </c>
      <c r="AB743">
        <f t="shared" si="94"/>
        <v>2025</v>
      </c>
      <c r="AC743" t="str">
        <f t="shared" si="95"/>
        <v>Clean</v>
      </c>
    </row>
    <row r="744" spans="1:29">
      <c r="A744" t="s">
        <v>2302</v>
      </c>
      <c r="B744" s="2">
        <v>45580</v>
      </c>
      <c r="C744" s="2">
        <v>45587</v>
      </c>
      <c r="D744" s="3">
        <f t="shared" si="88"/>
        <v>7</v>
      </c>
      <c r="E744" t="s">
        <v>2303</v>
      </c>
      <c r="F744" t="s">
        <v>23</v>
      </c>
      <c r="G744" t="s">
        <v>90</v>
      </c>
      <c r="H744" t="s">
        <v>38</v>
      </c>
      <c r="I744" t="s">
        <v>39</v>
      </c>
      <c r="J744" t="s">
        <v>40</v>
      </c>
      <c r="K744" t="s">
        <v>28</v>
      </c>
      <c r="L744" t="s">
        <v>29</v>
      </c>
      <c r="M744" t="s">
        <v>2304</v>
      </c>
      <c r="N744" t="s">
        <v>59</v>
      </c>
      <c r="O744">
        <v>4</v>
      </c>
      <c r="P744">
        <v>2260.9499999999998</v>
      </c>
      <c r="Q744" s="7">
        <v>0</v>
      </c>
      <c r="R744">
        <v>9043.7999999999993</v>
      </c>
      <c r="S744">
        <v>5913.38</v>
      </c>
      <c r="T744">
        <v>3130.42</v>
      </c>
      <c r="U744" t="s">
        <v>32</v>
      </c>
      <c r="V744" t="s">
        <v>33</v>
      </c>
      <c r="W744" s="8">
        <f t="shared" si="89"/>
        <v>0</v>
      </c>
      <c r="X744">
        <f t="shared" si="90"/>
        <v>9043.7999999999993</v>
      </c>
      <c r="Y744">
        <f t="shared" si="91"/>
        <v>3130.4199999999992</v>
      </c>
      <c r="Z744" s="8">
        <f t="shared" si="92"/>
        <v>0.34613989694597397</v>
      </c>
      <c r="AA744" t="str">
        <f t="shared" si="93"/>
        <v>October</v>
      </c>
      <c r="AB744">
        <f t="shared" si="94"/>
        <v>2024</v>
      </c>
      <c r="AC744" t="str">
        <f t="shared" si="95"/>
        <v>Clean</v>
      </c>
    </row>
    <row r="745" spans="1:29">
      <c r="A745" t="s">
        <v>2305</v>
      </c>
      <c r="B745" s="2">
        <v>45700</v>
      </c>
      <c r="C745" s="2">
        <v>45702</v>
      </c>
      <c r="D745" s="3">
        <f t="shared" si="88"/>
        <v>2</v>
      </c>
      <c r="E745" t="s">
        <v>2306</v>
      </c>
      <c r="F745" t="s">
        <v>132</v>
      </c>
      <c r="G74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2307</v>
      </c>
      <c r="N745" t="s">
        <v>59</v>
      </c>
      <c r="O745">
        <v>6</v>
      </c>
      <c r="P745">
        <v>491.4</v>
      </c>
      <c r="Q745" s="6">
        <v>0.25</v>
      </c>
      <c r="R745">
        <v>2211.3000000000002</v>
      </c>
      <c r="S745">
        <v>1735.64</v>
      </c>
      <c r="T745">
        <v>475.66</v>
      </c>
      <c r="U745" t="s">
        <v>32</v>
      </c>
      <c r="V745" t="s">
        <v>33</v>
      </c>
      <c r="W745" s="8">
        <f t="shared" si="89"/>
        <v>0.25</v>
      </c>
      <c r="X745">
        <f t="shared" si="90"/>
        <v>2211.2999999999997</v>
      </c>
      <c r="Y745">
        <f t="shared" si="91"/>
        <v>475.65999999999963</v>
      </c>
      <c r="Z745" s="8">
        <f t="shared" si="92"/>
        <v>0.21510423732645942</v>
      </c>
      <c r="AA745" t="str">
        <f t="shared" si="93"/>
        <v>February</v>
      </c>
      <c r="AB745">
        <f t="shared" si="94"/>
        <v>2025</v>
      </c>
      <c r="AC745" t="str">
        <f t="shared" si="95"/>
        <v>Clean</v>
      </c>
    </row>
    <row r="746" spans="1:29">
      <c r="A746" t="s">
        <v>2308</v>
      </c>
      <c r="B746" s="2">
        <v>45886</v>
      </c>
      <c r="C746" s="2">
        <v>45889</v>
      </c>
      <c r="D746" s="3">
        <f t="shared" si="88"/>
        <v>3</v>
      </c>
      <c r="E746" t="s">
        <v>2309</v>
      </c>
      <c r="F746" t="s">
        <v>36</v>
      </c>
      <c r="G746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2310</v>
      </c>
      <c r="N746" t="s">
        <v>50</v>
      </c>
      <c r="O746">
        <v>5</v>
      </c>
      <c r="P746">
        <v>2701.89</v>
      </c>
      <c r="Q746" s="6">
        <v>0.1</v>
      </c>
      <c r="R746">
        <v>12158.5</v>
      </c>
      <c r="S746">
        <v>10260.07</v>
      </c>
      <c r="T746">
        <v>1898.43</v>
      </c>
      <c r="U746" t="s">
        <v>32</v>
      </c>
      <c r="V746" t="s">
        <v>68</v>
      </c>
      <c r="W746" s="8">
        <f t="shared" si="89"/>
        <v>0.1</v>
      </c>
      <c r="X746">
        <f t="shared" si="90"/>
        <v>12158.504999999999</v>
      </c>
      <c r="Y746">
        <f t="shared" si="91"/>
        <v>1898.4349999999995</v>
      </c>
      <c r="Z746" s="8">
        <f t="shared" si="92"/>
        <v>0.15614049589155901</v>
      </c>
      <c r="AA746" t="str">
        <f t="shared" si="93"/>
        <v>August</v>
      </c>
      <c r="AB746">
        <f t="shared" si="94"/>
        <v>2025</v>
      </c>
      <c r="AC746" t="str">
        <f t="shared" si="95"/>
        <v>Clean</v>
      </c>
    </row>
    <row r="747" spans="1:29">
      <c r="A747" t="s">
        <v>2311</v>
      </c>
      <c r="B747" s="2">
        <v>45589</v>
      </c>
      <c r="C747" s="2">
        <v>45593</v>
      </c>
      <c r="D747" s="3">
        <f t="shared" si="88"/>
        <v>4</v>
      </c>
      <c r="E747" t="s">
        <v>2312</v>
      </c>
      <c r="F747" t="s">
        <v>36</v>
      </c>
      <c r="G747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2313</v>
      </c>
      <c r="N747" t="s">
        <v>59</v>
      </c>
      <c r="O747">
        <v>3</v>
      </c>
      <c r="P747">
        <v>723.59</v>
      </c>
      <c r="Q747" s="6">
        <v>0.2</v>
      </c>
      <c r="R747">
        <v>1736.62</v>
      </c>
      <c r="S747">
        <v>1059.52</v>
      </c>
      <c r="T747">
        <v>677.1</v>
      </c>
      <c r="U747" t="s">
        <v>32</v>
      </c>
      <c r="V747" t="s">
        <v>33</v>
      </c>
      <c r="W747" s="8">
        <f t="shared" si="89"/>
        <v>0.2</v>
      </c>
      <c r="X747">
        <f t="shared" si="90"/>
        <v>1736.616</v>
      </c>
      <c r="Y747">
        <f t="shared" si="91"/>
        <v>677.096</v>
      </c>
      <c r="Z747" s="8">
        <f t="shared" si="92"/>
        <v>0.38989390861307277</v>
      </c>
      <c r="AA747" t="str">
        <f t="shared" si="93"/>
        <v>October</v>
      </c>
      <c r="AB747">
        <f t="shared" si="94"/>
        <v>2024</v>
      </c>
      <c r="AC747" t="str">
        <f t="shared" si="95"/>
        <v>Clean</v>
      </c>
    </row>
    <row r="748" spans="1:29">
      <c r="A748" t="s">
        <v>2314</v>
      </c>
      <c r="B748" s="2">
        <v>45661</v>
      </c>
      <c r="C748" s="2">
        <v>45931</v>
      </c>
      <c r="D748" s="3">
        <f t="shared" si="88"/>
        <v>270</v>
      </c>
      <c r="E748" t="s">
        <v>2023</v>
      </c>
      <c r="F748" t="s">
        <v>128</v>
      </c>
      <c r="G748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2315</v>
      </c>
      <c r="N748" t="s">
        <v>59</v>
      </c>
      <c r="O748">
        <v>4</v>
      </c>
      <c r="P748">
        <v>2583.19</v>
      </c>
      <c r="Q748" s="6">
        <v>0.2</v>
      </c>
      <c r="R748">
        <v>8266.2099999999991</v>
      </c>
      <c r="S748">
        <v>6236.32</v>
      </c>
      <c r="T748">
        <v>2029.89</v>
      </c>
      <c r="U748" t="s">
        <v>32</v>
      </c>
      <c r="V748" t="s">
        <v>33</v>
      </c>
      <c r="W748" s="8">
        <f t="shared" si="89"/>
        <v>0.2</v>
      </c>
      <c r="X748">
        <f t="shared" si="90"/>
        <v>8266.2080000000005</v>
      </c>
      <c r="Y748">
        <f t="shared" si="91"/>
        <v>2029.8880000000008</v>
      </c>
      <c r="Z748" s="8">
        <f t="shared" si="92"/>
        <v>0.24556459261610653</v>
      </c>
      <c r="AA748" t="str">
        <f t="shared" si="93"/>
        <v>January</v>
      </c>
      <c r="AB748">
        <f t="shared" si="94"/>
        <v>2025</v>
      </c>
      <c r="AC748" t="str">
        <f t="shared" si="95"/>
        <v>Clean</v>
      </c>
    </row>
    <row r="749" spans="1:29">
      <c r="A749" t="s">
        <v>2316</v>
      </c>
      <c r="B749" s="2">
        <v>45413</v>
      </c>
      <c r="C749" s="2">
        <v>45419</v>
      </c>
      <c r="D749" s="3">
        <f t="shared" si="88"/>
        <v>6</v>
      </c>
      <c r="E749" t="s">
        <v>2317</v>
      </c>
      <c r="F749" t="s">
        <v>47</v>
      </c>
      <c r="G749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2318</v>
      </c>
      <c r="N749" t="s">
        <v>44</v>
      </c>
      <c r="O749">
        <v>8</v>
      </c>
      <c r="P749">
        <v>1473.83</v>
      </c>
      <c r="Q749" s="6">
        <v>0.15</v>
      </c>
      <c r="R749">
        <v>10022.040000000001</v>
      </c>
      <c r="S749">
        <v>5576.98</v>
      </c>
      <c r="T749">
        <v>4445.0600000000004</v>
      </c>
      <c r="U749" t="s">
        <v>32</v>
      </c>
      <c r="V749" t="s">
        <v>33</v>
      </c>
      <c r="W749" s="8">
        <f t="shared" si="89"/>
        <v>0.15</v>
      </c>
      <c r="X749">
        <f t="shared" si="90"/>
        <v>10022.044</v>
      </c>
      <c r="Y749">
        <f t="shared" si="91"/>
        <v>4445.0640000000003</v>
      </c>
      <c r="Z749" s="8">
        <f t="shared" si="92"/>
        <v>0.44352868536597928</v>
      </c>
      <c r="AA749" t="str">
        <f t="shared" si="93"/>
        <v>May</v>
      </c>
      <c r="AB749">
        <f t="shared" si="94"/>
        <v>2024</v>
      </c>
      <c r="AC749" t="str">
        <f t="shared" si="95"/>
        <v>Clean</v>
      </c>
    </row>
    <row r="750" spans="1:29">
      <c r="A750" t="s">
        <v>2319</v>
      </c>
      <c r="B750" s="2">
        <v>45442</v>
      </c>
      <c r="C750" s="2">
        <v>45442</v>
      </c>
      <c r="D750" s="3">
        <f t="shared" si="88"/>
        <v>0</v>
      </c>
      <c r="E750" t="s">
        <v>2320</v>
      </c>
      <c r="F750" t="s">
        <v>162</v>
      </c>
      <c r="G750" t="s">
        <v>95</v>
      </c>
      <c r="H750" t="s">
        <v>25</v>
      </c>
      <c r="I750" t="s">
        <v>236</v>
      </c>
      <c r="J750" t="s">
        <v>237</v>
      </c>
      <c r="K750" t="s">
        <v>74</v>
      </c>
      <c r="L750" t="s">
        <v>171</v>
      </c>
      <c r="M750" t="s">
        <v>2321</v>
      </c>
      <c r="N750" t="s">
        <v>31</v>
      </c>
      <c r="O750">
        <v>1</v>
      </c>
      <c r="P750">
        <v>3848.04</v>
      </c>
      <c r="Q750" s="6">
        <v>0.25</v>
      </c>
      <c r="R750">
        <v>2886.03</v>
      </c>
      <c r="S750">
        <v>2064.83</v>
      </c>
      <c r="T750">
        <v>821.2</v>
      </c>
      <c r="U750" t="s">
        <v>32</v>
      </c>
      <c r="V750" t="s">
        <v>33</v>
      </c>
      <c r="W750" s="8">
        <f t="shared" si="89"/>
        <v>0.25</v>
      </c>
      <c r="X750">
        <f t="shared" si="90"/>
        <v>2886.0299999999997</v>
      </c>
      <c r="Y750">
        <f t="shared" si="91"/>
        <v>821.19999999999982</v>
      </c>
      <c r="Z750" s="8">
        <f t="shared" si="92"/>
        <v>0.28454312671732446</v>
      </c>
      <c r="AA750" t="str">
        <f t="shared" si="93"/>
        <v>May</v>
      </c>
      <c r="AB750">
        <f t="shared" si="94"/>
        <v>2024</v>
      </c>
      <c r="AC750" t="str">
        <f t="shared" si="95"/>
        <v>Clean</v>
      </c>
    </row>
    <row r="751" spans="1:29">
      <c r="A751" t="s">
        <v>2322</v>
      </c>
      <c r="B751" s="2">
        <v>45372</v>
      </c>
      <c r="C751" s="2">
        <v>45376</v>
      </c>
      <c r="D751" s="3">
        <f t="shared" si="88"/>
        <v>4</v>
      </c>
      <c r="E751" t="s">
        <v>2323</v>
      </c>
      <c r="F751" t="s">
        <v>89</v>
      </c>
      <c r="G751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274</v>
      </c>
      <c r="M751" t="s">
        <v>2324</v>
      </c>
      <c r="N751" t="s">
        <v>59</v>
      </c>
      <c r="O751">
        <v>1</v>
      </c>
      <c r="P751">
        <v>1716.7</v>
      </c>
      <c r="Q751" s="6">
        <v>0.15</v>
      </c>
      <c r="R751">
        <v>1459.19</v>
      </c>
      <c r="S751">
        <v>1055.79</v>
      </c>
      <c r="T751">
        <v>403.4</v>
      </c>
      <c r="U751" t="s">
        <v>32</v>
      </c>
      <c r="V751" t="s">
        <v>33</v>
      </c>
      <c r="W751" s="8">
        <f t="shared" si="89"/>
        <v>0.15</v>
      </c>
      <c r="X751">
        <f t="shared" si="90"/>
        <v>1459.1949999999999</v>
      </c>
      <c r="Y751">
        <f t="shared" si="91"/>
        <v>403.40499999999997</v>
      </c>
      <c r="Z751" s="8">
        <f t="shared" si="92"/>
        <v>0.27645722470266137</v>
      </c>
      <c r="AA751" t="str">
        <f t="shared" si="93"/>
        <v>March</v>
      </c>
      <c r="AB751">
        <f t="shared" si="94"/>
        <v>2024</v>
      </c>
      <c r="AC751" t="str">
        <f t="shared" si="95"/>
        <v>Clean</v>
      </c>
    </row>
    <row r="752" spans="1:29">
      <c r="A752" t="s">
        <v>2325</v>
      </c>
      <c r="B752" s="2">
        <v>45810</v>
      </c>
      <c r="C752" s="2">
        <v>45810</v>
      </c>
      <c r="D752" s="3">
        <f t="shared" si="88"/>
        <v>0</v>
      </c>
      <c r="E752" t="s">
        <v>2326</v>
      </c>
      <c r="F752" t="s">
        <v>128</v>
      </c>
      <c r="G752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2327</v>
      </c>
      <c r="N752" t="s">
        <v>50</v>
      </c>
      <c r="O752">
        <v>8</v>
      </c>
      <c r="P752">
        <v>3925.93</v>
      </c>
      <c r="Q752" s="6">
        <v>0.15</v>
      </c>
      <c r="R752">
        <v>26696.32</v>
      </c>
      <c r="S752">
        <v>22724.52</v>
      </c>
      <c r="T752">
        <v>3971.8</v>
      </c>
      <c r="U752" t="s">
        <v>32</v>
      </c>
      <c r="V752" t="s">
        <v>33</v>
      </c>
      <c r="W752" s="8">
        <f t="shared" si="89"/>
        <v>0.15</v>
      </c>
      <c r="X752">
        <f t="shared" si="90"/>
        <v>26696.323999999997</v>
      </c>
      <c r="Y752">
        <f t="shared" si="91"/>
        <v>3971.8039999999964</v>
      </c>
      <c r="Z752" s="8">
        <f t="shared" si="92"/>
        <v>0.14877718745097629</v>
      </c>
      <c r="AA752" t="str">
        <f t="shared" si="93"/>
        <v>June</v>
      </c>
      <c r="AB752">
        <f t="shared" si="94"/>
        <v>2025</v>
      </c>
      <c r="AC752" t="str">
        <f t="shared" si="95"/>
        <v>Clean</v>
      </c>
    </row>
    <row r="753" spans="1:29">
      <c r="A753" t="s">
        <v>2328</v>
      </c>
      <c r="B753" s="2">
        <v>45856</v>
      </c>
      <c r="C753" s="2">
        <v>45857</v>
      </c>
      <c r="D753" s="3">
        <f t="shared" si="88"/>
        <v>1</v>
      </c>
      <c r="E753" t="s">
        <v>2329</v>
      </c>
      <c r="F753" t="s">
        <v>114</v>
      </c>
      <c r="G753" t="s">
        <v>95</v>
      </c>
      <c r="H753" s="4" t="s">
        <v>2760</v>
      </c>
      <c r="I753" t="s">
        <v>136</v>
      </c>
      <c r="J753" t="s">
        <v>137</v>
      </c>
      <c r="K753" t="s">
        <v>74</v>
      </c>
      <c r="L753" t="s">
        <v>274</v>
      </c>
      <c r="M753" t="s">
        <v>2330</v>
      </c>
      <c r="N753" s="4" t="s">
        <v>2760</v>
      </c>
      <c r="O753">
        <v>3</v>
      </c>
      <c r="P753">
        <v>2963.25</v>
      </c>
      <c r="Q753" s="6">
        <v>0.05</v>
      </c>
      <c r="R753">
        <v>8445.26</v>
      </c>
      <c r="S753">
        <v>6937.6</v>
      </c>
      <c r="T753">
        <v>1507.66</v>
      </c>
      <c r="U753" t="s">
        <v>32</v>
      </c>
      <c r="V753" t="s">
        <v>33</v>
      </c>
      <c r="W753" s="8">
        <f t="shared" si="89"/>
        <v>0.05</v>
      </c>
      <c r="X753">
        <f t="shared" si="90"/>
        <v>8445.2624999999989</v>
      </c>
      <c r="Y753">
        <f t="shared" si="91"/>
        <v>1507.6624999999985</v>
      </c>
      <c r="Z753" s="8">
        <f t="shared" si="92"/>
        <v>0.17852168597482893</v>
      </c>
      <c r="AA753" t="str">
        <f t="shared" si="93"/>
        <v>July</v>
      </c>
      <c r="AB753">
        <f t="shared" si="94"/>
        <v>2025</v>
      </c>
      <c r="AC753" t="str">
        <f t="shared" si="95"/>
        <v>Clean</v>
      </c>
    </row>
    <row r="754" spans="1:29">
      <c r="A754" t="s">
        <v>2331</v>
      </c>
      <c r="B754" s="2">
        <v>45375</v>
      </c>
      <c r="C754" s="2">
        <v>45378</v>
      </c>
      <c r="D754" s="3">
        <f t="shared" si="88"/>
        <v>3</v>
      </c>
      <c r="E754" t="s">
        <v>2332</v>
      </c>
      <c r="F754" t="s">
        <v>89</v>
      </c>
      <c r="G754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2333</v>
      </c>
      <c r="N754" t="s">
        <v>50</v>
      </c>
      <c r="O754">
        <v>5</v>
      </c>
      <c r="P754">
        <v>2465.2199999999998</v>
      </c>
      <c r="Q754" s="6">
        <v>0.05</v>
      </c>
      <c r="R754">
        <v>11709.79</v>
      </c>
      <c r="S754">
        <v>8372.2900000000009</v>
      </c>
      <c r="T754">
        <v>3337.5</v>
      </c>
      <c r="U754" t="s">
        <v>32</v>
      </c>
      <c r="V754" t="s">
        <v>33</v>
      </c>
      <c r="W754" s="8">
        <f t="shared" si="89"/>
        <v>0.05</v>
      </c>
      <c r="X754">
        <f t="shared" si="90"/>
        <v>11709.794999999998</v>
      </c>
      <c r="Y754">
        <f t="shared" si="91"/>
        <v>3337.5049999999974</v>
      </c>
      <c r="Z754" s="8">
        <f t="shared" si="92"/>
        <v>0.28501822619439521</v>
      </c>
      <c r="AA754" t="str">
        <f t="shared" si="93"/>
        <v>March</v>
      </c>
      <c r="AB754">
        <f t="shared" si="94"/>
        <v>2024</v>
      </c>
      <c r="AC754" t="str">
        <f t="shared" si="95"/>
        <v>Clean</v>
      </c>
    </row>
    <row r="755" spans="1:29">
      <c r="A755" t="s">
        <v>2334</v>
      </c>
      <c r="B755" s="2">
        <v>45515</v>
      </c>
      <c r="C755" s="2">
        <v>45573</v>
      </c>
      <c r="D755" s="3">
        <f t="shared" si="88"/>
        <v>58</v>
      </c>
      <c r="E755" t="s">
        <v>2335</v>
      </c>
      <c r="F755" t="s">
        <v>89</v>
      </c>
      <c r="G755" t="s">
        <v>90</v>
      </c>
      <c r="H755" t="s">
        <v>25</v>
      </c>
      <c r="I755" t="s">
        <v>350</v>
      </c>
      <c r="J755" t="s">
        <v>351</v>
      </c>
      <c r="K755" t="s">
        <v>41</v>
      </c>
      <c r="L755" t="s">
        <v>57</v>
      </c>
      <c r="M755" t="s">
        <v>2336</v>
      </c>
      <c r="N755" t="s">
        <v>31</v>
      </c>
      <c r="O755">
        <v>3</v>
      </c>
      <c r="P755">
        <v>1017.22</v>
      </c>
      <c r="Q755" s="6">
        <v>0.15</v>
      </c>
      <c r="R755">
        <v>2593.91</v>
      </c>
      <c r="S755">
        <v>1848.48</v>
      </c>
      <c r="T755">
        <v>745.43</v>
      </c>
      <c r="U755" t="s">
        <v>155</v>
      </c>
      <c r="V755" t="s">
        <v>103</v>
      </c>
      <c r="W755" s="8">
        <f t="shared" si="89"/>
        <v>0.15</v>
      </c>
      <c r="X755">
        <f t="shared" si="90"/>
        <v>2593.9109999999996</v>
      </c>
      <c r="Y755">
        <f t="shared" si="91"/>
        <v>745.43099999999959</v>
      </c>
      <c r="Z755" s="8">
        <f t="shared" si="92"/>
        <v>0.28737724617382776</v>
      </c>
      <c r="AA755" t="str">
        <f t="shared" si="93"/>
        <v>August</v>
      </c>
      <c r="AB755">
        <f t="shared" si="94"/>
        <v>2024</v>
      </c>
      <c r="AC755" t="str">
        <f t="shared" si="95"/>
        <v>Clean</v>
      </c>
    </row>
    <row r="756" spans="1:29">
      <c r="A756" t="s">
        <v>2337</v>
      </c>
      <c r="B756" s="2">
        <v>45812</v>
      </c>
      <c r="C756" s="2">
        <v>45812</v>
      </c>
      <c r="D756" s="3">
        <f t="shared" si="88"/>
        <v>0</v>
      </c>
      <c r="E756" t="s">
        <v>2338</v>
      </c>
      <c r="F756" t="s">
        <v>79</v>
      </c>
      <c r="G756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2339</v>
      </c>
      <c r="N756" t="s">
        <v>59</v>
      </c>
      <c r="O756">
        <v>4</v>
      </c>
      <c r="P756">
        <v>891.34</v>
      </c>
      <c r="Q756" s="6">
        <v>0.25</v>
      </c>
      <c r="R756">
        <v>2674.02</v>
      </c>
      <c r="S756">
        <v>2207.5700000000002</v>
      </c>
      <c r="T756">
        <v>466.45</v>
      </c>
      <c r="U756" t="s">
        <v>32</v>
      </c>
      <c r="V756" t="s">
        <v>33</v>
      </c>
      <c r="W756" s="8">
        <f t="shared" si="89"/>
        <v>0.25</v>
      </c>
      <c r="X756">
        <f t="shared" si="90"/>
        <v>2674.02</v>
      </c>
      <c r="Y756">
        <f t="shared" si="91"/>
        <v>466.44999999999982</v>
      </c>
      <c r="Z756" s="8">
        <f t="shared" si="92"/>
        <v>0.17443773793763689</v>
      </c>
      <c r="AA756" t="str">
        <f t="shared" si="93"/>
        <v>June</v>
      </c>
      <c r="AB756">
        <f t="shared" si="94"/>
        <v>2025</v>
      </c>
      <c r="AC756" t="str">
        <f t="shared" si="95"/>
        <v>Clean</v>
      </c>
    </row>
    <row r="757" spans="1:29">
      <c r="A757" t="s">
        <v>2340</v>
      </c>
      <c r="B757" s="2">
        <v>45858</v>
      </c>
      <c r="C757" s="2">
        <v>45862</v>
      </c>
      <c r="D757" s="3">
        <f t="shared" si="88"/>
        <v>4</v>
      </c>
      <c r="E757" t="s">
        <v>2341</v>
      </c>
      <c r="F757" t="s">
        <v>114</v>
      </c>
      <c r="G757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2342</v>
      </c>
      <c r="N757" t="s">
        <v>31</v>
      </c>
      <c r="O757">
        <v>5</v>
      </c>
      <c r="P757">
        <v>2481.7399999999998</v>
      </c>
      <c r="Q757" s="6">
        <v>0.2</v>
      </c>
      <c r="R757">
        <v>9926.9599999999991</v>
      </c>
      <c r="S757">
        <v>7994.98</v>
      </c>
      <c r="T757">
        <v>1931.98</v>
      </c>
      <c r="U757" t="s">
        <v>32</v>
      </c>
      <c r="V757" t="s">
        <v>33</v>
      </c>
      <c r="W757" s="8">
        <f t="shared" si="89"/>
        <v>0.2</v>
      </c>
      <c r="X757">
        <f t="shared" si="90"/>
        <v>9926.9599999999991</v>
      </c>
      <c r="Y757">
        <f t="shared" si="91"/>
        <v>1931.9799999999996</v>
      </c>
      <c r="Z757" s="8">
        <f t="shared" si="92"/>
        <v>0.19461950083409219</v>
      </c>
      <c r="AA757" t="str">
        <f t="shared" si="93"/>
        <v>July</v>
      </c>
      <c r="AB757">
        <f t="shared" si="94"/>
        <v>2025</v>
      </c>
      <c r="AC757" t="str">
        <f t="shared" si="95"/>
        <v>Clean</v>
      </c>
    </row>
    <row r="758" spans="1:29">
      <c r="A758" t="s">
        <v>2343</v>
      </c>
      <c r="B758" s="2">
        <v>45592</v>
      </c>
      <c r="C758" s="2">
        <v>45597</v>
      </c>
      <c r="D758" s="3">
        <f t="shared" si="88"/>
        <v>5</v>
      </c>
      <c r="E758" t="s">
        <v>2344</v>
      </c>
      <c r="F758" t="s">
        <v>141</v>
      </c>
      <c r="G758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2345</v>
      </c>
      <c r="N758" t="s">
        <v>44</v>
      </c>
      <c r="O758">
        <v>7</v>
      </c>
      <c r="P758">
        <v>2177.1</v>
      </c>
      <c r="Q758" s="6">
        <v>0.2</v>
      </c>
      <c r="R758">
        <v>12191.76</v>
      </c>
      <c r="S758">
        <v>10457.49</v>
      </c>
      <c r="T758">
        <v>1734.27</v>
      </c>
      <c r="U758" t="s">
        <v>32</v>
      </c>
      <c r="V758" t="s">
        <v>103</v>
      </c>
      <c r="W758" s="8">
        <f t="shared" si="89"/>
        <v>0.2</v>
      </c>
      <c r="X758">
        <f t="shared" si="90"/>
        <v>12191.76</v>
      </c>
      <c r="Y758">
        <f t="shared" si="91"/>
        <v>1734.2700000000004</v>
      </c>
      <c r="Z758" s="8">
        <f t="shared" si="92"/>
        <v>0.14224935530226976</v>
      </c>
      <c r="AA758" t="str">
        <f t="shared" si="93"/>
        <v>October</v>
      </c>
      <c r="AB758">
        <f t="shared" si="94"/>
        <v>2024</v>
      </c>
      <c r="AC758" t="str">
        <f t="shared" si="95"/>
        <v>Clean</v>
      </c>
    </row>
    <row r="759" spans="1:29">
      <c r="A759" t="s">
        <v>2346</v>
      </c>
      <c r="B759" s="2">
        <v>45870</v>
      </c>
      <c r="C759" s="2">
        <v>45872</v>
      </c>
      <c r="D759" s="3">
        <f t="shared" si="88"/>
        <v>2</v>
      </c>
      <c r="E759" t="s">
        <v>2347</v>
      </c>
      <c r="F759" t="s">
        <v>89</v>
      </c>
      <c r="G759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2348</v>
      </c>
      <c r="N759" t="s">
        <v>59</v>
      </c>
      <c r="O759">
        <v>3</v>
      </c>
      <c r="P759">
        <v>1904.78</v>
      </c>
      <c r="Q759" s="6">
        <v>0.25</v>
      </c>
      <c r="R759">
        <v>4285.76</v>
      </c>
      <c r="S759">
        <v>2386.33</v>
      </c>
      <c r="T759">
        <v>1899.43</v>
      </c>
      <c r="U759" t="s">
        <v>155</v>
      </c>
      <c r="V759" t="s">
        <v>68</v>
      </c>
      <c r="W759" s="8">
        <f t="shared" si="89"/>
        <v>0.25</v>
      </c>
      <c r="X759">
        <f t="shared" si="90"/>
        <v>4285.7550000000001</v>
      </c>
      <c r="Y759">
        <f t="shared" si="91"/>
        <v>1899.4250000000002</v>
      </c>
      <c r="Z759" s="8">
        <f t="shared" si="92"/>
        <v>0.44319495631458172</v>
      </c>
      <c r="AA759" t="str">
        <f t="shared" si="93"/>
        <v>August</v>
      </c>
      <c r="AB759">
        <f t="shared" si="94"/>
        <v>2025</v>
      </c>
      <c r="AC759" t="str">
        <f t="shared" si="95"/>
        <v>Clean</v>
      </c>
    </row>
    <row r="760" spans="1:29">
      <c r="A760" t="s">
        <v>2349</v>
      </c>
      <c r="B760" s="2">
        <v>45414</v>
      </c>
      <c r="C760" s="2">
        <v>45422</v>
      </c>
      <c r="D760" s="3">
        <f t="shared" si="88"/>
        <v>8</v>
      </c>
      <c r="E760" t="s">
        <v>2350</v>
      </c>
      <c r="F760" t="s">
        <v>128</v>
      </c>
      <c r="G760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2351</v>
      </c>
      <c r="N760" t="s">
        <v>59</v>
      </c>
      <c r="O760">
        <v>1</v>
      </c>
      <c r="P760">
        <v>4166.91</v>
      </c>
      <c r="Q760" s="7">
        <v>0</v>
      </c>
      <c r="R760">
        <v>4166.91</v>
      </c>
      <c r="S760">
        <v>3412.63</v>
      </c>
      <c r="T760">
        <v>754.28</v>
      </c>
      <c r="U760" t="s">
        <v>32</v>
      </c>
      <c r="V760" t="s">
        <v>33</v>
      </c>
      <c r="W760" s="8">
        <f t="shared" si="89"/>
        <v>0</v>
      </c>
      <c r="X760">
        <f t="shared" si="90"/>
        <v>4166.91</v>
      </c>
      <c r="Y760">
        <f t="shared" si="91"/>
        <v>754.27999999999975</v>
      </c>
      <c r="Z760" s="8">
        <f t="shared" si="92"/>
        <v>0.18101662862888801</v>
      </c>
      <c r="AA760" t="str">
        <f t="shared" si="93"/>
        <v>May</v>
      </c>
      <c r="AB760">
        <f t="shared" si="94"/>
        <v>2024</v>
      </c>
      <c r="AC760" t="str">
        <f t="shared" si="95"/>
        <v>Clean</v>
      </c>
    </row>
    <row r="761" spans="1:29">
      <c r="A761" t="s">
        <v>2352</v>
      </c>
      <c r="B761" s="2">
        <v>45492</v>
      </c>
      <c r="C761" s="2">
        <v>45499</v>
      </c>
      <c r="D761" s="3">
        <f t="shared" si="88"/>
        <v>7</v>
      </c>
      <c r="E761" t="s">
        <v>2353</v>
      </c>
      <c r="F761" t="s">
        <v>53</v>
      </c>
      <c r="G761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2354</v>
      </c>
      <c r="N761" t="s">
        <v>31</v>
      </c>
      <c r="O761">
        <v>5</v>
      </c>
      <c r="P761">
        <v>3986.01</v>
      </c>
      <c r="Q761" s="6">
        <v>0.25</v>
      </c>
      <c r="R761">
        <v>14947.54</v>
      </c>
      <c r="S761">
        <v>9438.4599999999991</v>
      </c>
      <c r="T761">
        <v>5509.08</v>
      </c>
      <c r="U761" t="s">
        <v>32</v>
      </c>
      <c r="V761" t="s">
        <v>33</v>
      </c>
      <c r="W761" s="8">
        <f t="shared" si="89"/>
        <v>0.25</v>
      </c>
      <c r="X761">
        <f t="shared" si="90"/>
        <v>14947.537500000002</v>
      </c>
      <c r="Y761">
        <f t="shared" si="91"/>
        <v>5509.0775000000031</v>
      </c>
      <c r="Z761" s="8">
        <f t="shared" si="92"/>
        <v>0.36856087499362367</v>
      </c>
      <c r="AA761" t="str">
        <f t="shared" si="93"/>
        <v>July</v>
      </c>
      <c r="AB761">
        <f t="shared" si="94"/>
        <v>2024</v>
      </c>
      <c r="AC761" t="str">
        <f t="shared" si="95"/>
        <v>Clean</v>
      </c>
    </row>
    <row r="762" spans="1:29">
      <c r="A762" t="s">
        <v>2355</v>
      </c>
      <c r="B762" s="2">
        <v>45532</v>
      </c>
      <c r="C762" s="2">
        <v>45537</v>
      </c>
      <c r="D762" s="3">
        <f t="shared" si="88"/>
        <v>5</v>
      </c>
      <c r="E762" t="s">
        <v>2356</v>
      </c>
      <c r="F762" t="s">
        <v>89</v>
      </c>
      <c r="G762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2357</v>
      </c>
      <c r="N762" t="s">
        <v>31</v>
      </c>
      <c r="O762">
        <v>4</v>
      </c>
      <c r="P762">
        <v>3365.53</v>
      </c>
      <c r="Q762" s="7">
        <v>0</v>
      </c>
      <c r="R762">
        <v>13462.12</v>
      </c>
      <c r="S762">
        <v>7600.63</v>
      </c>
      <c r="T762">
        <v>5861.49</v>
      </c>
      <c r="U762" t="s">
        <v>111</v>
      </c>
      <c r="V762" t="s">
        <v>103</v>
      </c>
      <c r="W762" s="8">
        <f t="shared" si="89"/>
        <v>0</v>
      </c>
      <c r="X762">
        <f t="shared" si="90"/>
        <v>13462.12</v>
      </c>
      <c r="Y762">
        <f t="shared" si="91"/>
        <v>5861.4900000000007</v>
      </c>
      <c r="Z762" s="8">
        <f t="shared" si="92"/>
        <v>0.43540616188237813</v>
      </c>
      <c r="AA762" t="str">
        <f t="shared" si="93"/>
        <v>August</v>
      </c>
      <c r="AB762">
        <f t="shared" si="94"/>
        <v>2024</v>
      </c>
      <c r="AC762" t="str">
        <f t="shared" si="95"/>
        <v>Clean</v>
      </c>
    </row>
    <row r="763" spans="1:29">
      <c r="A763" t="s">
        <v>2358</v>
      </c>
      <c r="B763" s="2">
        <v>45896</v>
      </c>
      <c r="C763" s="2">
        <v>45900</v>
      </c>
      <c r="D763" s="3">
        <f t="shared" si="88"/>
        <v>4</v>
      </c>
      <c r="E763" t="s">
        <v>2359</v>
      </c>
      <c r="F763" t="s">
        <v>47</v>
      </c>
      <c r="G763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274</v>
      </c>
      <c r="M763" t="s">
        <v>2360</v>
      </c>
      <c r="N763" t="s">
        <v>50</v>
      </c>
      <c r="O763">
        <v>3</v>
      </c>
      <c r="P763">
        <v>2489.12</v>
      </c>
      <c r="Q763" s="7">
        <v>0</v>
      </c>
      <c r="R763">
        <v>7467.36</v>
      </c>
      <c r="S763">
        <v>5010.6099999999997</v>
      </c>
      <c r="T763">
        <v>2456.75</v>
      </c>
      <c r="U763" t="s">
        <v>32</v>
      </c>
      <c r="V763" t="s">
        <v>33</v>
      </c>
      <c r="W763" s="8">
        <f t="shared" si="89"/>
        <v>0</v>
      </c>
      <c r="X763">
        <f t="shared" si="90"/>
        <v>7467.36</v>
      </c>
      <c r="Y763">
        <f t="shared" si="91"/>
        <v>2456.75</v>
      </c>
      <c r="Z763" s="8">
        <f t="shared" si="92"/>
        <v>0.32899846799940008</v>
      </c>
      <c r="AA763" t="str">
        <f t="shared" si="93"/>
        <v>August</v>
      </c>
      <c r="AB763">
        <f t="shared" si="94"/>
        <v>2025</v>
      </c>
      <c r="AC763" t="str">
        <f t="shared" si="95"/>
        <v>Clean</v>
      </c>
    </row>
    <row r="764" spans="1:29">
      <c r="A764" t="s">
        <v>2361</v>
      </c>
      <c r="B764" s="2">
        <v>45292</v>
      </c>
      <c r="C764" s="2">
        <v>45296</v>
      </c>
      <c r="D764" s="3">
        <f t="shared" si="88"/>
        <v>4</v>
      </c>
      <c r="E764" t="s">
        <v>2362</v>
      </c>
      <c r="F764" t="s">
        <v>162</v>
      </c>
      <c r="G764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274</v>
      </c>
      <c r="M764" t="s">
        <v>2363</v>
      </c>
      <c r="N764" t="s">
        <v>31</v>
      </c>
      <c r="O764">
        <v>2</v>
      </c>
      <c r="P764">
        <v>3694.12</v>
      </c>
      <c r="Q764" s="6">
        <v>0.2</v>
      </c>
      <c r="R764">
        <v>5910.59</v>
      </c>
      <c r="S764">
        <v>4775.4399999999996</v>
      </c>
      <c r="T764">
        <v>1135.1500000000001</v>
      </c>
      <c r="U764" t="s">
        <v>102</v>
      </c>
      <c r="V764" t="s">
        <v>103</v>
      </c>
      <c r="W764" s="8">
        <f t="shared" si="89"/>
        <v>0.2</v>
      </c>
      <c r="X764">
        <f t="shared" si="90"/>
        <v>5910.5920000000006</v>
      </c>
      <c r="Y764">
        <f t="shared" si="91"/>
        <v>1135.152000000001</v>
      </c>
      <c r="Z764" s="8">
        <f t="shared" si="92"/>
        <v>0.19205385856442145</v>
      </c>
      <c r="AA764" t="str">
        <f t="shared" si="93"/>
        <v>January</v>
      </c>
      <c r="AB764">
        <f t="shared" si="94"/>
        <v>2024</v>
      </c>
      <c r="AC764" t="str">
        <f t="shared" si="95"/>
        <v>Clean</v>
      </c>
    </row>
    <row r="765" spans="1:29">
      <c r="A765" t="s">
        <v>2364</v>
      </c>
      <c r="B765" s="2">
        <v>45892</v>
      </c>
      <c r="C765" s="2">
        <v>45894</v>
      </c>
      <c r="D765" s="3">
        <f t="shared" si="88"/>
        <v>2</v>
      </c>
      <c r="E765" t="s">
        <v>2365</v>
      </c>
      <c r="F765" t="s">
        <v>162</v>
      </c>
      <c r="G76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2366</v>
      </c>
      <c r="N765" t="s">
        <v>44</v>
      </c>
      <c r="O765">
        <v>6</v>
      </c>
      <c r="P765">
        <v>2742.48</v>
      </c>
      <c r="Q765" s="7">
        <v>0</v>
      </c>
      <c r="R765">
        <v>16454.88</v>
      </c>
      <c r="S765">
        <v>12081.54</v>
      </c>
      <c r="T765">
        <v>4373.34</v>
      </c>
      <c r="U765" t="s">
        <v>32</v>
      </c>
      <c r="V765" t="s">
        <v>33</v>
      </c>
      <c r="W765" s="8">
        <f t="shared" si="89"/>
        <v>0</v>
      </c>
      <c r="X765">
        <f t="shared" si="90"/>
        <v>16454.88</v>
      </c>
      <c r="Y765">
        <f t="shared" si="91"/>
        <v>4373.34</v>
      </c>
      <c r="Z765" s="8">
        <f t="shared" si="92"/>
        <v>0.26577769026574488</v>
      </c>
      <c r="AA765" t="str">
        <f t="shared" si="93"/>
        <v>August</v>
      </c>
      <c r="AB765">
        <f t="shared" si="94"/>
        <v>2025</v>
      </c>
      <c r="AC765" t="str">
        <f t="shared" si="95"/>
        <v>Clean</v>
      </c>
    </row>
    <row r="766" spans="1:29">
      <c r="A766" t="s">
        <v>2367</v>
      </c>
      <c r="B766" s="2">
        <v>45760</v>
      </c>
      <c r="C766" s="2">
        <v>45760</v>
      </c>
      <c r="D766" s="3">
        <f t="shared" si="88"/>
        <v>0</v>
      </c>
      <c r="E766" t="s">
        <v>884</v>
      </c>
      <c r="F766" t="s">
        <v>114</v>
      </c>
      <c r="G766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2368</v>
      </c>
      <c r="N766" t="s">
        <v>50</v>
      </c>
      <c r="O766">
        <v>6</v>
      </c>
      <c r="P766">
        <v>4414</v>
      </c>
      <c r="Q766" s="6">
        <v>0.05</v>
      </c>
      <c r="R766">
        <v>25159.8</v>
      </c>
      <c r="S766">
        <v>21606.83</v>
      </c>
      <c r="T766">
        <v>3552.97</v>
      </c>
      <c r="U766" t="s">
        <v>32</v>
      </c>
      <c r="V766" t="s">
        <v>33</v>
      </c>
      <c r="W766" s="8">
        <f t="shared" si="89"/>
        <v>0.05</v>
      </c>
      <c r="X766">
        <f t="shared" si="90"/>
        <v>25159.8</v>
      </c>
      <c r="Y766">
        <f t="shared" si="91"/>
        <v>3552.9699999999975</v>
      </c>
      <c r="Z766" s="8">
        <f t="shared" si="92"/>
        <v>0.14121614639226057</v>
      </c>
      <c r="AA766" t="str">
        <f t="shared" si="93"/>
        <v>April</v>
      </c>
      <c r="AB766">
        <f t="shared" si="94"/>
        <v>2025</v>
      </c>
      <c r="AC766" t="str">
        <f t="shared" si="95"/>
        <v>Clean</v>
      </c>
    </row>
    <row r="767" spans="1:29">
      <c r="A767" t="s">
        <v>2369</v>
      </c>
      <c r="B767" s="2">
        <v>45837</v>
      </c>
      <c r="C767" s="2">
        <v>45841</v>
      </c>
      <c r="D767" s="3">
        <f t="shared" si="88"/>
        <v>4</v>
      </c>
      <c r="E767" t="s">
        <v>2370</v>
      </c>
      <c r="F767" t="s">
        <v>71</v>
      </c>
      <c r="G767" t="s">
        <v>90</v>
      </c>
      <c r="H767" t="s">
        <v>38</v>
      </c>
      <c r="I767" t="s">
        <v>228</v>
      </c>
      <c r="J767" t="s">
        <v>229</v>
      </c>
      <c r="K767" t="s">
        <v>28</v>
      </c>
      <c r="L767" t="s">
        <v>91</v>
      </c>
      <c r="M767" t="s">
        <v>2371</v>
      </c>
      <c r="N767" t="s">
        <v>50</v>
      </c>
      <c r="O767">
        <v>3</v>
      </c>
      <c r="P767">
        <v>608.14</v>
      </c>
      <c r="Q767" s="7">
        <v>0</v>
      </c>
      <c r="R767">
        <v>1824.42</v>
      </c>
      <c r="S767">
        <v>1214.8699999999999</v>
      </c>
      <c r="T767">
        <v>609.54999999999995</v>
      </c>
      <c r="U767" t="s">
        <v>32</v>
      </c>
      <c r="V767" t="s">
        <v>33</v>
      </c>
      <c r="W767" s="8">
        <f t="shared" si="89"/>
        <v>0</v>
      </c>
      <c r="X767">
        <f t="shared" si="90"/>
        <v>1824.42</v>
      </c>
      <c r="Y767">
        <f t="shared" si="91"/>
        <v>609.55000000000018</v>
      </c>
      <c r="Z767" s="8">
        <f t="shared" si="92"/>
        <v>0.33410618169061956</v>
      </c>
      <c r="AA767" t="str">
        <f t="shared" si="93"/>
        <v>June</v>
      </c>
      <c r="AB767">
        <f t="shared" si="94"/>
        <v>2025</v>
      </c>
      <c r="AC767" t="str">
        <f t="shared" si="95"/>
        <v>Clean</v>
      </c>
    </row>
    <row r="768" spans="1:29">
      <c r="A768" t="s">
        <v>2372</v>
      </c>
      <c r="B768" s="2">
        <v>45552</v>
      </c>
      <c r="C768" s="2">
        <v>45559</v>
      </c>
      <c r="D768" s="3">
        <f t="shared" si="88"/>
        <v>7</v>
      </c>
      <c r="E768" t="s">
        <v>2373</v>
      </c>
      <c r="F768" t="s">
        <v>36</v>
      </c>
      <c r="G768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2374</v>
      </c>
      <c r="N768" t="s">
        <v>31</v>
      </c>
      <c r="O768">
        <v>9</v>
      </c>
      <c r="P768">
        <v>2307.96</v>
      </c>
      <c r="Q768" s="6">
        <v>0.2</v>
      </c>
      <c r="R768">
        <v>16617.310000000001</v>
      </c>
      <c r="S768">
        <v>9195.73</v>
      </c>
      <c r="T768">
        <v>7421.58</v>
      </c>
      <c r="U768" t="s">
        <v>32</v>
      </c>
      <c r="V768" t="s">
        <v>68</v>
      </c>
      <c r="W768" s="8">
        <f t="shared" si="89"/>
        <v>0.2</v>
      </c>
      <c r="X768">
        <f t="shared" si="90"/>
        <v>16617.312000000002</v>
      </c>
      <c r="Y768">
        <f t="shared" si="91"/>
        <v>7421.5820000000022</v>
      </c>
      <c r="Z768" s="8">
        <f t="shared" si="92"/>
        <v>0.44661747940942564</v>
      </c>
      <c r="AA768" t="str">
        <f t="shared" si="93"/>
        <v>September</v>
      </c>
      <c r="AB768">
        <f t="shared" si="94"/>
        <v>2024</v>
      </c>
      <c r="AC768" t="str">
        <f t="shared" si="95"/>
        <v>Clean</v>
      </c>
    </row>
    <row r="769" spans="1:29">
      <c r="A769" t="s">
        <v>2375</v>
      </c>
      <c r="B769" s="2">
        <v>45415</v>
      </c>
      <c r="C769" s="2">
        <v>45418</v>
      </c>
      <c r="D769" s="3">
        <f t="shared" si="88"/>
        <v>3</v>
      </c>
      <c r="E769" t="s">
        <v>2376</v>
      </c>
      <c r="F769" t="s">
        <v>62</v>
      </c>
      <c r="G769" t="s">
        <v>95</v>
      </c>
      <c r="H769" t="s">
        <v>25</v>
      </c>
      <c r="I769" t="s">
        <v>136</v>
      </c>
      <c r="J769" t="s">
        <v>137</v>
      </c>
      <c r="K769" t="s">
        <v>28</v>
      </c>
      <c r="L769" t="s">
        <v>153</v>
      </c>
      <c r="M769" t="s">
        <v>2377</v>
      </c>
      <c r="N769" t="s">
        <v>59</v>
      </c>
      <c r="O769">
        <v>1</v>
      </c>
      <c r="P769">
        <v>1244.58</v>
      </c>
      <c r="Q769" s="6">
        <v>0.25</v>
      </c>
      <c r="R769">
        <v>933.43</v>
      </c>
      <c r="S769">
        <v>583.09</v>
      </c>
      <c r="T769">
        <v>350.34</v>
      </c>
      <c r="U769" t="s">
        <v>32</v>
      </c>
      <c r="V769" t="s">
        <v>33</v>
      </c>
      <c r="W769" s="8">
        <f t="shared" si="89"/>
        <v>0.25</v>
      </c>
      <c r="X769">
        <f t="shared" si="90"/>
        <v>933.43499999999995</v>
      </c>
      <c r="Y769">
        <f t="shared" si="91"/>
        <v>350.34499999999991</v>
      </c>
      <c r="Z769" s="8">
        <f t="shared" si="92"/>
        <v>0.3753287588316272</v>
      </c>
      <c r="AA769" t="str">
        <f t="shared" si="93"/>
        <v>May</v>
      </c>
      <c r="AB769">
        <f t="shared" si="94"/>
        <v>2024</v>
      </c>
      <c r="AC769" t="str">
        <f t="shared" si="95"/>
        <v>Clean</v>
      </c>
    </row>
    <row r="770" spans="1:29">
      <c r="A770" t="s">
        <v>2378</v>
      </c>
      <c r="B770" s="2">
        <v>45749</v>
      </c>
      <c r="C770" s="2">
        <v>45751</v>
      </c>
      <c r="D770" s="3">
        <f t="shared" ref="D770:D833" si="96">C770-B770</f>
        <v>2</v>
      </c>
      <c r="E770" t="s">
        <v>2379</v>
      </c>
      <c r="F770" t="s">
        <v>132</v>
      </c>
      <c r="G770" t="s">
        <v>95</v>
      </c>
      <c r="H770" t="s">
        <v>38</v>
      </c>
      <c r="I770" t="s">
        <v>228</v>
      </c>
      <c r="J770" t="s">
        <v>229</v>
      </c>
      <c r="K770" t="s">
        <v>28</v>
      </c>
      <c r="L770" t="s">
        <v>29</v>
      </c>
      <c r="M770" t="s">
        <v>2380</v>
      </c>
      <c r="N770" t="s">
        <v>44</v>
      </c>
      <c r="O770">
        <v>5</v>
      </c>
      <c r="P770">
        <v>3234.24</v>
      </c>
      <c r="Q770" s="6">
        <v>0.1</v>
      </c>
      <c r="R770">
        <v>14554.08</v>
      </c>
      <c r="S770">
        <v>11166.84</v>
      </c>
      <c r="T770">
        <v>3387.24</v>
      </c>
      <c r="U770" t="s">
        <v>32</v>
      </c>
      <c r="V770" t="s">
        <v>33</v>
      </c>
      <c r="W770" s="8">
        <f t="shared" si="89"/>
        <v>0.1</v>
      </c>
      <c r="X770">
        <f t="shared" si="90"/>
        <v>14554.08</v>
      </c>
      <c r="Y770">
        <f t="shared" si="91"/>
        <v>3387.24</v>
      </c>
      <c r="Z770" s="8">
        <f t="shared" si="92"/>
        <v>0.23273473830018798</v>
      </c>
      <c r="AA770" t="str">
        <f t="shared" si="93"/>
        <v>April</v>
      </c>
      <c r="AB770">
        <f t="shared" si="94"/>
        <v>2025</v>
      </c>
      <c r="AC770" t="str">
        <f t="shared" si="95"/>
        <v>Clean</v>
      </c>
    </row>
    <row r="771" spans="1:29">
      <c r="A771" t="s">
        <v>2381</v>
      </c>
      <c r="B771" s="2">
        <v>45423</v>
      </c>
      <c r="C771" s="2">
        <v>45425</v>
      </c>
      <c r="D771" s="3">
        <f t="shared" si="96"/>
        <v>2</v>
      </c>
      <c r="E771" t="s">
        <v>2382</v>
      </c>
      <c r="F771" t="s">
        <v>114</v>
      </c>
      <c r="G771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2383</v>
      </c>
      <c r="N771" t="s">
        <v>44</v>
      </c>
      <c r="O771">
        <v>3</v>
      </c>
      <c r="P771">
        <v>3612.75</v>
      </c>
      <c r="Q771" s="6">
        <v>0.25</v>
      </c>
      <c r="R771">
        <v>8128.69</v>
      </c>
      <c r="S771">
        <v>5071.66</v>
      </c>
      <c r="T771">
        <v>3057.03</v>
      </c>
      <c r="U771" t="s">
        <v>32</v>
      </c>
      <c r="V771" t="s">
        <v>33</v>
      </c>
      <c r="W771" s="8">
        <f t="shared" ref="W771:W834" si="97">Q771</f>
        <v>0.25</v>
      </c>
      <c r="X771">
        <f t="shared" ref="X771:X834" si="98">O771*P771*(1-W771)</f>
        <v>8128.6875</v>
      </c>
      <c r="Y771">
        <f t="shared" ref="Y771:Y834" si="99">X771-S771</f>
        <v>3057.0275000000001</v>
      </c>
      <c r="Z771" s="8">
        <f t="shared" ref="Z771:Z834" si="100">IF(X771=0,0,Y771/X771)</f>
        <v>0.3760788565189645</v>
      </c>
      <c r="AA771" t="str">
        <f t="shared" ref="AA771:AA834" si="101">TEXT(B771,"mmmm")</f>
        <v>May</v>
      </c>
      <c r="AB771">
        <f t="shared" ref="AB771:AB834" si="102">YEAR(B771)</f>
        <v>2024</v>
      </c>
      <c r="AC771" t="str">
        <f t="shared" ref="AC771:AC834" si="103">IF(Q771&lt;0,"Invalid",IF(D771&lt;0,"Warning","Clean"))</f>
        <v>Clean</v>
      </c>
    </row>
    <row r="772" spans="1:29">
      <c r="A772" t="s">
        <v>2384</v>
      </c>
      <c r="B772" s="2">
        <v>45337</v>
      </c>
      <c r="C772" s="2">
        <v>45339</v>
      </c>
      <c r="D772" s="3">
        <f t="shared" si="96"/>
        <v>2</v>
      </c>
      <c r="E772" t="s">
        <v>2385</v>
      </c>
      <c r="F772" t="s">
        <v>79</v>
      </c>
      <c r="G772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2386</v>
      </c>
      <c r="N772" t="s">
        <v>50</v>
      </c>
      <c r="O772">
        <v>4</v>
      </c>
      <c r="P772">
        <v>863</v>
      </c>
      <c r="Q772" s="7">
        <v>0</v>
      </c>
      <c r="R772">
        <v>3106.8</v>
      </c>
      <c r="S772">
        <v>2376.62</v>
      </c>
      <c r="T772">
        <v>730.18</v>
      </c>
      <c r="U772" t="s">
        <v>32</v>
      </c>
      <c r="V772" t="s">
        <v>33</v>
      </c>
      <c r="W772" s="8">
        <f t="shared" si="97"/>
        <v>0</v>
      </c>
      <c r="X772">
        <f t="shared" si="98"/>
        <v>3452</v>
      </c>
      <c r="Y772">
        <f t="shared" si="99"/>
        <v>1075.3800000000001</v>
      </c>
      <c r="Z772" s="8">
        <f t="shared" si="100"/>
        <v>0.3115237543453071</v>
      </c>
      <c r="AA772" t="str">
        <f t="shared" si="101"/>
        <v>February</v>
      </c>
      <c r="AB772">
        <f t="shared" si="102"/>
        <v>2024</v>
      </c>
      <c r="AC772" t="str">
        <f t="shared" si="103"/>
        <v>Clean</v>
      </c>
    </row>
    <row r="773" spans="1:29">
      <c r="A773" t="s">
        <v>2387</v>
      </c>
      <c r="B773" s="2">
        <v>45485</v>
      </c>
      <c r="C773" s="2">
        <v>45487</v>
      </c>
      <c r="D773" s="3">
        <f t="shared" si="96"/>
        <v>2</v>
      </c>
      <c r="E773" t="s">
        <v>467</v>
      </c>
      <c r="F773" t="s">
        <v>62</v>
      </c>
      <c r="G773" t="s">
        <v>24</v>
      </c>
      <c r="H773" t="s">
        <v>25</v>
      </c>
      <c r="I773" t="s">
        <v>236</v>
      </c>
      <c r="J773" t="s">
        <v>237</v>
      </c>
      <c r="K773" t="s">
        <v>74</v>
      </c>
      <c r="L773" t="s">
        <v>274</v>
      </c>
      <c r="M773" t="s">
        <v>2388</v>
      </c>
      <c r="N773" t="s">
        <v>31</v>
      </c>
      <c r="O773">
        <v>4</v>
      </c>
      <c r="P773">
        <v>2131.41</v>
      </c>
      <c r="Q773" s="7">
        <v>0</v>
      </c>
      <c r="R773">
        <v>6394.23</v>
      </c>
      <c r="S773">
        <v>3520.69</v>
      </c>
      <c r="T773">
        <v>2873.54</v>
      </c>
      <c r="U773" t="s">
        <v>32</v>
      </c>
      <c r="V773" t="s">
        <v>33</v>
      </c>
      <c r="W773" s="8">
        <f t="shared" si="97"/>
        <v>0</v>
      </c>
      <c r="X773">
        <f t="shared" si="98"/>
        <v>8525.64</v>
      </c>
      <c r="Y773">
        <f t="shared" si="99"/>
        <v>5004.9499999999989</v>
      </c>
      <c r="Z773" s="8">
        <f t="shared" si="100"/>
        <v>0.58704683753946907</v>
      </c>
      <c r="AA773" t="str">
        <f t="shared" si="101"/>
        <v>July</v>
      </c>
      <c r="AB773">
        <f t="shared" si="102"/>
        <v>2024</v>
      </c>
      <c r="AC773" t="str">
        <f t="shared" si="103"/>
        <v>Clean</v>
      </c>
    </row>
    <row r="774" spans="1:29">
      <c r="A774" t="s">
        <v>2389</v>
      </c>
      <c r="B774" s="2">
        <v>45853</v>
      </c>
      <c r="C774" s="2">
        <v>45857</v>
      </c>
      <c r="D774" s="3">
        <f t="shared" si="96"/>
        <v>4</v>
      </c>
      <c r="E774" t="s">
        <v>2390</v>
      </c>
      <c r="F774" t="s">
        <v>162</v>
      </c>
      <c r="G774" t="s">
        <v>24</v>
      </c>
      <c r="H774" t="s">
        <v>54</v>
      </c>
      <c r="I774" t="s">
        <v>247</v>
      </c>
      <c r="J774" t="s">
        <v>248</v>
      </c>
      <c r="K774" t="s">
        <v>41</v>
      </c>
      <c r="L774" t="s">
        <v>66</v>
      </c>
      <c r="M774" t="s">
        <v>2391</v>
      </c>
      <c r="N774" t="s">
        <v>44</v>
      </c>
      <c r="O774">
        <v>1</v>
      </c>
      <c r="P774">
        <v>3903.22</v>
      </c>
      <c r="Q774" s="6">
        <v>0.05</v>
      </c>
      <c r="R774">
        <v>3708.06</v>
      </c>
      <c r="S774">
        <v>2760.29</v>
      </c>
      <c r="T774">
        <v>947.77</v>
      </c>
      <c r="U774" t="s">
        <v>111</v>
      </c>
      <c r="V774" t="s">
        <v>68</v>
      </c>
      <c r="W774" s="8">
        <f t="shared" si="97"/>
        <v>0.05</v>
      </c>
      <c r="X774">
        <f t="shared" si="98"/>
        <v>3708.0589999999997</v>
      </c>
      <c r="Y774">
        <f t="shared" si="99"/>
        <v>947.76899999999978</v>
      </c>
      <c r="Z774" s="8">
        <f t="shared" si="100"/>
        <v>0.25559706574248142</v>
      </c>
      <c r="AA774" t="str">
        <f t="shared" si="101"/>
        <v>July</v>
      </c>
      <c r="AB774">
        <f t="shared" si="102"/>
        <v>2025</v>
      </c>
      <c r="AC774" t="str">
        <f t="shared" si="103"/>
        <v>Clean</v>
      </c>
    </row>
    <row r="775" spans="1:29">
      <c r="A775" t="s">
        <v>2392</v>
      </c>
      <c r="B775" s="2">
        <v>45709</v>
      </c>
      <c r="C775" s="2">
        <v>45709</v>
      </c>
      <c r="D775" s="3">
        <f t="shared" si="96"/>
        <v>0</v>
      </c>
      <c r="E775" t="s">
        <v>2393</v>
      </c>
      <c r="F775" t="s">
        <v>23</v>
      </c>
      <c r="G77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2394</v>
      </c>
      <c r="N775" s="4" t="s">
        <v>2760</v>
      </c>
      <c r="O775">
        <v>4</v>
      </c>
      <c r="P775">
        <v>2945.07</v>
      </c>
      <c r="Q775" s="6">
        <v>0.2</v>
      </c>
      <c r="R775">
        <v>9424.2199999999993</v>
      </c>
      <c r="S775">
        <v>6178.92</v>
      </c>
      <c r="T775">
        <v>3245.3</v>
      </c>
      <c r="U775" t="s">
        <v>32</v>
      </c>
      <c r="V775" t="s">
        <v>33</v>
      </c>
      <c r="W775" s="8">
        <f t="shared" si="97"/>
        <v>0.2</v>
      </c>
      <c r="X775">
        <f t="shared" si="98"/>
        <v>9424.2240000000002</v>
      </c>
      <c r="Y775">
        <f t="shared" si="99"/>
        <v>3245.3040000000001</v>
      </c>
      <c r="Z775" s="8">
        <f t="shared" si="100"/>
        <v>0.3443576892909167</v>
      </c>
      <c r="AA775" t="str">
        <f t="shared" si="101"/>
        <v>February</v>
      </c>
      <c r="AB775">
        <f t="shared" si="102"/>
        <v>2025</v>
      </c>
      <c r="AC775" t="str">
        <f t="shared" si="103"/>
        <v>Clean</v>
      </c>
    </row>
    <row r="776" spans="1:29">
      <c r="A776" t="s">
        <v>2395</v>
      </c>
      <c r="B776" s="2">
        <v>45846</v>
      </c>
      <c r="C776" s="2">
        <v>45876</v>
      </c>
      <c r="D776" s="3">
        <f t="shared" si="96"/>
        <v>30</v>
      </c>
      <c r="E776" t="s">
        <v>2396</v>
      </c>
      <c r="F776" t="s">
        <v>264</v>
      </c>
      <c r="G776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274</v>
      </c>
      <c r="M776" t="s">
        <v>2397</v>
      </c>
      <c r="N776" s="4" t="s">
        <v>2760</v>
      </c>
      <c r="O776">
        <v>9</v>
      </c>
      <c r="P776">
        <v>1076.75</v>
      </c>
      <c r="Q776" s="6">
        <v>0.2</v>
      </c>
      <c r="R776">
        <v>7752.6</v>
      </c>
      <c r="S776">
        <v>4689.3</v>
      </c>
      <c r="T776">
        <v>3063.3</v>
      </c>
      <c r="U776" t="s">
        <v>32</v>
      </c>
      <c r="V776" t="s">
        <v>33</v>
      </c>
      <c r="W776" s="8">
        <f t="shared" si="97"/>
        <v>0.2</v>
      </c>
      <c r="X776">
        <f t="shared" si="98"/>
        <v>7752.6</v>
      </c>
      <c r="Y776">
        <f t="shared" si="99"/>
        <v>3063.3</v>
      </c>
      <c r="Z776" s="8">
        <f t="shared" si="100"/>
        <v>0.39513195573098059</v>
      </c>
      <c r="AA776" t="str">
        <f t="shared" si="101"/>
        <v>July</v>
      </c>
      <c r="AB776">
        <f t="shared" si="102"/>
        <v>2025</v>
      </c>
      <c r="AC776" t="str">
        <f t="shared" si="103"/>
        <v>Clean</v>
      </c>
    </row>
    <row r="777" spans="1:29">
      <c r="A777" t="s">
        <v>2398</v>
      </c>
      <c r="B777" s="2">
        <v>45396</v>
      </c>
      <c r="C777" s="2">
        <v>45404</v>
      </c>
      <c r="D777" s="3">
        <f t="shared" si="96"/>
        <v>8</v>
      </c>
      <c r="E777" t="s">
        <v>2399</v>
      </c>
      <c r="F777" t="s">
        <v>53</v>
      </c>
      <c r="G777" t="s">
        <v>24</v>
      </c>
      <c r="H777" t="s">
        <v>25</v>
      </c>
      <c r="I777" t="s">
        <v>236</v>
      </c>
      <c r="J777" t="s">
        <v>237</v>
      </c>
      <c r="K777" t="s">
        <v>74</v>
      </c>
      <c r="L777" t="s">
        <v>75</v>
      </c>
      <c r="M777" t="s">
        <v>2400</v>
      </c>
      <c r="N777" t="s">
        <v>59</v>
      </c>
      <c r="O777">
        <v>8</v>
      </c>
      <c r="P777">
        <v>3956.12</v>
      </c>
      <c r="Q777" s="6">
        <v>0.25</v>
      </c>
      <c r="R777">
        <v>23736.720000000001</v>
      </c>
      <c r="S777">
        <v>13890.9</v>
      </c>
      <c r="T777">
        <v>9845.82</v>
      </c>
      <c r="U777" t="s">
        <v>32</v>
      </c>
      <c r="V777" t="s">
        <v>33</v>
      </c>
      <c r="W777" s="8">
        <f t="shared" si="97"/>
        <v>0.25</v>
      </c>
      <c r="X777">
        <f t="shared" si="98"/>
        <v>23736.720000000001</v>
      </c>
      <c r="Y777">
        <f t="shared" si="99"/>
        <v>9845.8200000000015</v>
      </c>
      <c r="Z777" s="8">
        <f t="shared" si="100"/>
        <v>0.41479277676106896</v>
      </c>
      <c r="AA777" t="str">
        <f t="shared" si="101"/>
        <v>April</v>
      </c>
      <c r="AB777">
        <f t="shared" si="102"/>
        <v>2024</v>
      </c>
      <c r="AC777" t="str">
        <f t="shared" si="103"/>
        <v>Clean</v>
      </c>
    </row>
    <row r="778" spans="1:29">
      <c r="A778" t="s">
        <v>2401</v>
      </c>
      <c r="B778" s="2">
        <v>45875</v>
      </c>
      <c r="C778" s="2">
        <v>45821</v>
      </c>
      <c r="D778" s="5">
        <f t="shared" si="96"/>
        <v>-54</v>
      </c>
      <c r="E778" t="s">
        <v>2402</v>
      </c>
      <c r="F778" t="s">
        <v>89</v>
      </c>
      <c r="G778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2403</v>
      </c>
      <c r="N778" t="s">
        <v>31</v>
      </c>
      <c r="O778">
        <v>7</v>
      </c>
      <c r="P778">
        <v>3857.13</v>
      </c>
      <c r="Q778" s="7">
        <v>0</v>
      </c>
      <c r="R778">
        <v>26999.91</v>
      </c>
      <c r="S778">
        <v>17815.98</v>
      </c>
      <c r="T778">
        <v>9183.93</v>
      </c>
      <c r="U778" t="s">
        <v>32</v>
      </c>
      <c r="V778" t="s">
        <v>33</v>
      </c>
      <c r="W778" s="8">
        <f t="shared" si="97"/>
        <v>0</v>
      </c>
      <c r="X778">
        <f t="shared" si="98"/>
        <v>26999.91</v>
      </c>
      <c r="Y778">
        <f t="shared" si="99"/>
        <v>9183.93</v>
      </c>
      <c r="Z778" s="8">
        <f t="shared" si="100"/>
        <v>0.34014668937785347</v>
      </c>
      <c r="AA778" t="str">
        <f t="shared" si="101"/>
        <v>August</v>
      </c>
      <c r="AB778">
        <f t="shared" si="102"/>
        <v>2025</v>
      </c>
      <c r="AC778" t="str">
        <f t="shared" si="103"/>
        <v>Warning</v>
      </c>
    </row>
    <row r="779" spans="1:29">
      <c r="A779" t="s">
        <v>2404</v>
      </c>
      <c r="B779" s="2">
        <v>45384</v>
      </c>
      <c r="C779" s="2">
        <v>45328</v>
      </c>
      <c r="D779" s="5">
        <f t="shared" si="96"/>
        <v>-56</v>
      </c>
      <c r="E779" t="s">
        <v>2405</v>
      </c>
      <c r="F779" t="s">
        <v>264</v>
      </c>
      <c r="G779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2406</v>
      </c>
      <c r="N779" t="s">
        <v>31</v>
      </c>
      <c r="O779">
        <v>4</v>
      </c>
      <c r="P779">
        <v>1489.74</v>
      </c>
      <c r="Q779" s="6">
        <v>0.15</v>
      </c>
      <c r="R779">
        <v>5065.12</v>
      </c>
      <c r="S779">
        <v>3530.12</v>
      </c>
      <c r="T779">
        <v>1535</v>
      </c>
      <c r="U779" t="s">
        <v>155</v>
      </c>
      <c r="V779" t="s">
        <v>68</v>
      </c>
      <c r="W779" s="8">
        <f t="shared" si="97"/>
        <v>0.15</v>
      </c>
      <c r="X779">
        <f t="shared" si="98"/>
        <v>5065.116</v>
      </c>
      <c r="Y779">
        <f t="shared" si="99"/>
        <v>1534.9960000000001</v>
      </c>
      <c r="Z779" s="8">
        <f t="shared" si="100"/>
        <v>0.30305248685321323</v>
      </c>
      <c r="AA779" t="str">
        <f t="shared" si="101"/>
        <v>April</v>
      </c>
      <c r="AB779">
        <f t="shared" si="102"/>
        <v>2024</v>
      </c>
      <c r="AC779" t="str">
        <f t="shared" si="103"/>
        <v>Warning</v>
      </c>
    </row>
    <row r="780" spans="1:29">
      <c r="A780" t="s">
        <v>2407</v>
      </c>
      <c r="B780" s="2">
        <v>45497</v>
      </c>
      <c r="C780" s="2">
        <v>45497</v>
      </c>
      <c r="D780" s="3">
        <f t="shared" si="96"/>
        <v>0</v>
      </c>
      <c r="E780" t="s">
        <v>2408</v>
      </c>
      <c r="F780" t="s">
        <v>23</v>
      </c>
      <c r="G780" t="s">
        <v>37</v>
      </c>
      <c r="H780" t="s">
        <v>25</v>
      </c>
      <c r="I780" t="s">
        <v>236</v>
      </c>
      <c r="J780" t="s">
        <v>237</v>
      </c>
      <c r="K780" t="s">
        <v>74</v>
      </c>
      <c r="L780" t="s">
        <v>80</v>
      </c>
      <c r="M780" t="s">
        <v>2409</v>
      </c>
      <c r="N780" t="s">
        <v>31</v>
      </c>
      <c r="O780">
        <v>4</v>
      </c>
      <c r="P780">
        <v>1676.88</v>
      </c>
      <c r="Q780" s="7">
        <v>0</v>
      </c>
      <c r="R780">
        <v>6707.52</v>
      </c>
      <c r="S780">
        <v>5672.57</v>
      </c>
      <c r="T780">
        <v>1034.95</v>
      </c>
      <c r="U780" t="s">
        <v>32</v>
      </c>
      <c r="V780" t="s">
        <v>33</v>
      </c>
      <c r="W780" s="8">
        <f t="shared" si="97"/>
        <v>0</v>
      </c>
      <c r="X780">
        <f t="shared" si="98"/>
        <v>6707.52</v>
      </c>
      <c r="Y780">
        <f t="shared" si="99"/>
        <v>1034.9500000000007</v>
      </c>
      <c r="Z780" s="8">
        <f t="shared" si="100"/>
        <v>0.15429696817899918</v>
      </c>
      <c r="AA780" t="str">
        <f t="shared" si="101"/>
        <v>July</v>
      </c>
      <c r="AB780">
        <f t="shared" si="102"/>
        <v>2024</v>
      </c>
      <c r="AC780" t="str">
        <f t="shared" si="103"/>
        <v>Clean</v>
      </c>
    </row>
    <row r="781" spans="1:29">
      <c r="A781" t="s">
        <v>2410</v>
      </c>
      <c r="B781" s="2">
        <v>45306</v>
      </c>
      <c r="C781" s="2">
        <v>45311</v>
      </c>
      <c r="D781" s="3">
        <f t="shared" si="96"/>
        <v>5</v>
      </c>
      <c r="E781" t="s">
        <v>2411</v>
      </c>
      <c r="F781" t="s">
        <v>114</v>
      </c>
      <c r="G781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2412</v>
      </c>
      <c r="N781" t="s">
        <v>59</v>
      </c>
      <c r="O781">
        <v>4</v>
      </c>
      <c r="P781">
        <v>3153.54</v>
      </c>
      <c r="Q781" s="6">
        <v>0.05</v>
      </c>
      <c r="R781">
        <v>11983.45</v>
      </c>
      <c r="S781">
        <v>8572.9</v>
      </c>
      <c r="T781">
        <v>3410.55</v>
      </c>
      <c r="U781" t="s">
        <v>32</v>
      </c>
      <c r="V781" t="s">
        <v>33</v>
      </c>
      <c r="W781" s="8">
        <f t="shared" si="97"/>
        <v>0.05</v>
      </c>
      <c r="X781">
        <f t="shared" si="98"/>
        <v>11983.451999999999</v>
      </c>
      <c r="Y781">
        <f t="shared" si="99"/>
        <v>3410.5519999999997</v>
      </c>
      <c r="Z781" s="8">
        <f t="shared" si="100"/>
        <v>0.2846051371507976</v>
      </c>
      <c r="AA781" t="str">
        <f t="shared" si="101"/>
        <v>January</v>
      </c>
      <c r="AB781">
        <f t="shared" si="102"/>
        <v>2024</v>
      </c>
      <c r="AC781" t="str">
        <f t="shared" si="103"/>
        <v>Clean</v>
      </c>
    </row>
    <row r="782" spans="1:29">
      <c r="A782" t="s">
        <v>2413</v>
      </c>
      <c r="B782" s="2">
        <v>45508</v>
      </c>
      <c r="C782" s="2">
        <v>45514</v>
      </c>
      <c r="D782" s="3">
        <f t="shared" si="96"/>
        <v>6</v>
      </c>
      <c r="E782" t="s">
        <v>2414</v>
      </c>
      <c r="F782" t="s">
        <v>162</v>
      </c>
      <c r="G782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2415</v>
      </c>
      <c r="N782" t="s">
        <v>44</v>
      </c>
      <c r="O782">
        <v>4</v>
      </c>
      <c r="P782">
        <v>426.43</v>
      </c>
      <c r="Q782" s="6">
        <v>0.2</v>
      </c>
      <c r="R782">
        <v>1364.58</v>
      </c>
      <c r="S782">
        <v>978.16</v>
      </c>
      <c r="T782">
        <v>386.42</v>
      </c>
      <c r="U782" t="s">
        <v>32</v>
      </c>
      <c r="V782" t="s">
        <v>33</v>
      </c>
      <c r="W782" s="8">
        <f t="shared" si="97"/>
        <v>0.2</v>
      </c>
      <c r="X782">
        <f t="shared" si="98"/>
        <v>1364.576</v>
      </c>
      <c r="Y782">
        <f t="shared" si="99"/>
        <v>386.41600000000005</v>
      </c>
      <c r="Z782" s="8">
        <f t="shared" si="100"/>
        <v>0.28317660577351506</v>
      </c>
      <c r="AA782" t="str">
        <f t="shared" si="101"/>
        <v>August</v>
      </c>
      <c r="AB782">
        <f t="shared" si="102"/>
        <v>2024</v>
      </c>
      <c r="AC782" t="str">
        <f t="shared" si="103"/>
        <v>Clean</v>
      </c>
    </row>
    <row r="783" spans="1:29">
      <c r="A783" t="s">
        <v>2416</v>
      </c>
      <c r="B783" s="2">
        <v>45324</v>
      </c>
      <c r="C783" s="2">
        <v>45332</v>
      </c>
      <c r="D783" s="3">
        <f t="shared" si="96"/>
        <v>8</v>
      </c>
      <c r="E783" t="s">
        <v>2417</v>
      </c>
      <c r="F783" t="s">
        <v>23</v>
      </c>
      <c r="G783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2418</v>
      </c>
      <c r="N783" t="s">
        <v>50</v>
      </c>
      <c r="O783">
        <v>3</v>
      </c>
      <c r="P783">
        <v>383.4</v>
      </c>
      <c r="Q783" s="6">
        <v>0.25</v>
      </c>
      <c r="R783">
        <v>862.65</v>
      </c>
      <c r="S783">
        <v>603.73</v>
      </c>
      <c r="T783">
        <v>258.92</v>
      </c>
      <c r="U783" t="s">
        <v>111</v>
      </c>
      <c r="V783" t="s">
        <v>103</v>
      </c>
      <c r="W783" s="8">
        <f t="shared" si="97"/>
        <v>0.25</v>
      </c>
      <c r="X783">
        <f t="shared" si="98"/>
        <v>862.64999999999986</v>
      </c>
      <c r="Y783">
        <f t="shared" si="99"/>
        <v>258.91999999999985</v>
      </c>
      <c r="Z783" s="8">
        <f t="shared" si="100"/>
        <v>0.30014490233582553</v>
      </c>
      <c r="AA783" t="str">
        <f t="shared" si="101"/>
        <v>February</v>
      </c>
      <c r="AB783">
        <f t="shared" si="102"/>
        <v>2024</v>
      </c>
      <c r="AC783" t="str">
        <f t="shared" si="103"/>
        <v>Clean</v>
      </c>
    </row>
    <row r="784" spans="1:29">
      <c r="A784" t="s">
        <v>2419</v>
      </c>
      <c r="B784" s="2">
        <v>45730</v>
      </c>
      <c r="C784" s="2">
        <v>45738</v>
      </c>
      <c r="D784" s="3">
        <f t="shared" si="96"/>
        <v>8</v>
      </c>
      <c r="E784" t="s">
        <v>2420</v>
      </c>
      <c r="F784" t="s">
        <v>36</v>
      </c>
      <c r="G784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2421</v>
      </c>
      <c r="N784" t="s">
        <v>59</v>
      </c>
      <c r="O784">
        <v>2</v>
      </c>
      <c r="P784">
        <v>669.63</v>
      </c>
      <c r="Q784" s="6">
        <v>0.15</v>
      </c>
      <c r="R784">
        <v>1138.3699999999999</v>
      </c>
      <c r="S784">
        <v>797.34</v>
      </c>
      <c r="T784">
        <v>341.03</v>
      </c>
      <c r="U784" t="s">
        <v>32</v>
      </c>
      <c r="V784" t="s">
        <v>33</v>
      </c>
      <c r="W784" s="8">
        <f t="shared" si="97"/>
        <v>0.15</v>
      </c>
      <c r="X784">
        <f t="shared" si="98"/>
        <v>1138.3709999999999</v>
      </c>
      <c r="Y784">
        <f t="shared" si="99"/>
        <v>341.03099999999984</v>
      </c>
      <c r="Z784" s="8">
        <f t="shared" si="100"/>
        <v>0.29957808131092578</v>
      </c>
      <c r="AA784" t="str">
        <f t="shared" si="101"/>
        <v>March</v>
      </c>
      <c r="AB784">
        <f t="shared" si="102"/>
        <v>2025</v>
      </c>
      <c r="AC784" t="str">
        <f t="shared" si="103"/>
        <v>Clean</v>
      </c>
    </row>
    <row r="785" spans="1:29">
      <c r="A785" t="s">
        <v>2422</v>
      </c>
      <c r="B785" s="2">
        <v>45450</v>
      </c>
      <c r="C785" s="2">
        <v>45450</v>
      </c>
      <c r="D785" s="3">
        <f t="shared" si="96"/>
        <v>0</v>
      </c>
      <c r="E785" t="s">
        <v>2423</v>
      </c>
      <c r="F785" t="s">
        <v>128</v>
      </c>
      <c r="G78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2424</v>
      </c>
      <c r="N785" t="s">
        <v>31</v>
      </c>
      <c r="O785">
        <v>1</v>
      </c>
      <c r="P785">
        <v>2581.9299999999998</v>
      </c>
      <c r="Q785" s="6">
        <v>0.05</v>
      </c>
      <c r="R785">
        <v>2452.83</v>
      </c>
      <c r="S785">
        <v>1906.7</v>
      </c>
      <c r="T785">
        <v>546.13</v>
      </c>
      <c r="U785" t="s">
        <v>32</v>
      </c>
      <c r="V785" t="s">
        <v>33</v>
      </c>
      <c r="W785" s="8">
        <f t="shared" si="97"/>
        <v>0.05</v>
      </c>
      <c r="X785">
        <f t="shared" si="98"/>
        <v>2452.8334999999997</v>
      </c>
      <c r="Y785">
        <f t="shared" si="99"/>
        <v>546.13349999999969</v>
      </c>
      <c r="Z785" s="8">
        <f t="shared" si="100"/>
        <v>0.22265412634000625</v>
      </c>
      <c r="AA785" t="str">
        <f t="shared" si="101"/>
        <v>June</v>
      </c>
      <c r="AB785">
        <f t="shared" si="102"/>
        <v>2024</v>
      </c>
      <c r="AC785" t="str">
        <f t="shared" si="103"/>
        <v>Clean</v>
      </c>
    </row>
    <row r="786" spans="1:29">
      <c r="A786" t="s">
        <v>2425</v>
      </c>
      <c r="B786" s="2">
        <v>45934</v>
      </c>
      <c r="C786" s="2">
        <v>45935</v>
      </c>
      <c r="D786" s="3">
        <f t="shared" si="96"/>
        <v>1</v>
      </c>
      <c r="E786" t="s">
        <v>2426</v>
      </c>
      <c r="F786" t="s">
        <v>114</v>
      </c>
      <c r="G786" t="s">
        <v>90</v>
      </c>
      <c r="H786" t="s">
        <v>25</v>
      </c>
      <c r="I786" t="s">
        <v>122</v>
      </c>
      <c r="J786" t="s">
        <v>123</v>
      </c>
      <c r="K786" t="s">
        <v>74</v>
      </c>
      <c r="L786" t="s">
        <v>80</v>
      </c>
      <c r="M786" t="s">
        <v>2427</v>
      </c>
      <c r="N786" t="s">
        <v>50</v>
      </c>
      <c r="O786">
        <v>4</v>
      </c>
      <c r="P786">
        <v>418.18</v>
      </c>
      <c r="Q786" s="6">
        <v>0.05</v>
      </c>
      <c r="R786">
        <v>1589.08</v>
      </c>
      <c r="S786">
        <v>1084.6600000000001</v>
      </c>
      <c r="T786">
        <v>504.42</v>
      </c>
      <c r="U786" t="s">
        <v>32</v>
      </c>
      <c r="V786" t="s">
        <v>33</v>
      </c>
      <c r="W786" s="8">
        <f t="shared" si="97"/>
        <v>0.05</v>
      </c>
      <c r="X786">
        <f t="shared" si="98"/>
        <v>1589.0840000000001</v>
      </c>
      <c r="Y786">
        <f t="shared" si="99"/>
        <v>504.42399999999998</v>
      </c>
      <c r="Z786" s="8">
        <f t="shared" si="100"/>
        <v>0.31743067075120002</v>
      </c>
      <c r="AA786" t="str">
        <f t="shared" si="101"/>
        <v>October</v>
      </c>
      <c r="AB786">
        <f t="shared" si="102"/>
        <v>2025</v>
      </c>
      <c r="AC786" t="str">
        <f t="shared" si="103"/>
        <v>Clean</v>
      </c>
    </row>
    <row r="787" spans="1:29">
      <c r="A787" t="s">
        <v>2428</v>
      </c>
      <c r="B787" s="2">
        <v>45435</v>
      </c>
      <c r="C787" s="2">
        <v>45441</v>
      </c>
      <c r="D787" s="3">
        <f t="shared" si="96"/>
        <v>6</v>
      </c>
      <c r="E787" t="s">
        <v>2429</v>
      </c>
      <c r="F787" t="s">
        <v>162</v>
      </c>
      <c r="G787" t="s">
        <v>37</v>
      </c>
      <c r="H787" t="s">
        <v>25</v>
      </c>
      <c r="I787" t="s">
        <v>236</v>
      </c>
      <c r="J787" t="s">
        <v>237</v>
      </c>
      <c r="K787" t="s">
        <v>28</v>
      </c>
      <c r="L787" t="s">
        <v>124</v>
      </c>
      <c r="M787" t="s">
        <v>2430</v>
      </c>
      <c r="N787" t="s">
        <v>44</v>
      </c>
      <c r="O787">
        <v>2</v>
      </c>
      <c r="P787">
        <v>3012.94</v>
      </c>
      <c r="Q787" s="6">
        <v>0.25</v>
      </c>
      <c r="R787">
        <v>4519.41</v>
      </c>
      <c r="S787">
        <v>3504.16</v>
      </c>
      <c r="T787">
        <v>1275.55</v>
      </c>
      <c r="U787" t="s">
        <v>155</v>
      </c>
      <c r="V787" t="s">
        <v>68</v>
      </c>
      <c r="W787" s="8">
        <f t="shared" si="97"/>
        <v>0.25</v>
      </c>
      <c r="X787">
        <f t="shared" si="98"/>
        <v>4519.41</v>
      </c>
      <c r="Y787">
        <f t="shared" si="99"/>
        <v>1015.25</v>
      </c>
      <c r="Z787" s="8">
        <f t="shared" si="100"/>
        <v>0.22464215461752751</v>
      </c>
      <c r="AA787" t="str">
        <f t="shared" si="101"/>
        <v>May</v>
      </c>
      <c r="AB787">
        <f t="shared" si="102"/>
        <v>2024</v>
      </c>
      <c r="AC787" t="str">
        <f t="shared" si="103"/>
        <v>Clean</v>
      </c>
    </row>
    <row r="788" spans="1:29">
      <c r="A788" t="s">
        <v>2431</v>
      </c>
      <c r="B788" s="2">
        <v>45844</v>
      </c>
      <c r="C788" s="2">
        <v>45846</v>
      </c>
      <c r="D788" s="3">
        <f t="shared" si="96"/>
        <v>2</v>
      </c>
      <c r="E788" t="s">
        <v>2432</v>
      </c>
      <c r="F788" t="s">
        <v>62</v>
      </c>
      <c r="G788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2433</v>
      </c>
      <c r="N788" s="4" t="s">
        <v>2760</v>
      </c>
      <c r="O788">
        <v>4</v>
      </c>
      <c r="P788">
        <v>715.45</v>
      </c>
      <c r="Q788" s="6">
        <v>0.05</v>
      </c>
      <c r="R788">
        <v>2718.71</v>
      </c>
      <c r="S788">
        <v>2065.0500000000002</v>
      </c>
      <c r="T788">
        <v>653.66</v>
      </c>
      <c r="U788" t="s">
        <v>102</v>
      </c>
      <c r="V788" t="s">
        <v>103</v>
      </c>
      <c r="W788" s="8">
        <f t="shared" si="97"/>
        <v>0.05</v>
      </c>
      <c r="X788">
        <f t="shared" si="98"/>
        <v>2718.71</v>
      </c>
      <c r="Y788">
        <f t="shared" si="99"/>
        <v>653.65999999999985</v>
      </c>
      <c r="Z788" s="8">
        <f t="shared" si="100"/>
        <v>0.24043020403058799</v>
      </c>
      <c r="AA788" t="str">
        <f t="shared" si="101"/>
        <v>July</v>
      </c>
      <c r="AB788">
        <f t="shared" si="102"/>
        <v>2025</v>
      </c>
      <c r="AC788" t="str">
        <f t="shared" si="103"/>
        <v>Clean</v>
      </c>
    </row>
    <row r="789" spans="1:29">
      <c r="A789" t="s">
        <v>2434</v>
      </c>
      <c r="B789" s="2">
        <v>45547</v>
      </c>
      <c r="C789" s="2">
        <v>45553</v>
      </c>
      <c r="D789" s="3">
        <f t="shared" si="96"/>
        <v>6</v>
      </c>
      <c r="E789" t="s">
        <v>2435</v>
      </c>
      <c r="F789" t="s">
        <v>62</v>
      </c>
      <c r="G789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2436</v>
      </c>
      <c r="N789" t="s">
        <v>31</v>
      </c>
      <c r="O789">
        <v>2</v>
      </c>
      <c r="P789">
        <v>3718.77</v>
      </c>
      <c r="Q789" s="6">
        <v>0.05</v>
      </c>
      <c r="R789">
        <v>7065.66</v>
      </c>
      <c r="S789">
        <v>4915.2700000000004</v>
      </c>
      <c r="T789">
        <v>2150.39</v>
      </c>
      <c r="U789" t="s">
        <v>32</v>
      </c>
      <c r="V789" t="s">
        <v>33</v>
      </c>
      <c r="W789" s="8">
        <f t="shared" si="97"/>
        <v>0.05</v>
      </c>
      <c r="X789">
        <f t="shared" si="98"/>
        <v>7065.6629999999996</v>
      </c>
      <c r="Y789">
        <f t="shared" si="99"/>
        <v>2150.3929999999991</v>
      </c>
      <c r="Z789" s="8">
        <f t="shared" si="100"/>
        <v>0.30434412170521002</v>
      </c>
      <c r="AA789" t="str">
        <f t="shared" si="101"/>
        <v>September</v>
      </c>
      <c r="AB789">
        <f t="shared" si="102"/>
        <v>2024</v>
      </c>
      <c r="AC789" t="str">
        <f t="shared" si="103"/>
        <v>Clean</v>
      </c>
    </row>
    <row r="790" spans="1:29">
      <c r="A790" t="s">
        <v>2437</v>
      </c>
      <c r="B790" s="2">
        <v>45505</v>
      </c>
      <c r="C790" s="2">
        <v>45330</v>
      </c>
      <c r="D790" s="5">
        <f t="shared" si="96"/>
        <v>-175</v>
      </c>
      <c r="E790" t="s">
        <v>2438</v>
      </c>
      <c r="F790" t="s">
        <v>47</v>
      </c>
      <c r="G790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2439</v>
      </c>
      <c r="N790" t="s">
        <v>59</v>
      </c>
      <c r="O790">
        <v>8</v>
      </c>
      <c r="P790">
        <v>2487.64</v>
      </c>
      <c r="Q790" s="6">
        <v>0.1</v>
      </c>
      <c r="R790">
        <v>17911.009999999998</v>
      </c>
      <c r="S790">
        <v>11546.05</v>
      </c>
      <c r="T790">
        <v>6364.96</v>
      </c>
      <c r="U790" t="s">
        <v>155</v>
      </c>
      <c r="V790" t="s">
        <v>103</v>
      </c>
      <c r="W790" s="8">
        <f t="shared" si="97"/>
        <v>0.1</v>
      </c>
      <c r="X790">
        <f t="shared" si="98"/>
        <v>17911.007999999998</v>
      </c>
      <c r="Y790">
        <f t="shared" si="99"/>
        <v>6364.9579999999987</v>
      </c>
      <c r="Z790" s="8">
        <f t="shared" si="100"/>
        <v>0.35536570582738836</v>
      </c>
      <c r="AA790" t="str">
        <f t="shared" si="101"/>
        <v>August</v>
      </c>
      <c r="AB790">
        <f t="shared" si="102"/>
        <v>2024</v>
      </c>
      <c r="AC790" t="str">
        <f t="shared" si="103"/>
        <v>Warning</v>
      </c>
    </row>
    <row r="791" spans="1:29">
      <c r="A791" t="s">
        <v>2440</v>
      </c>
      <c r="B791" s="2">
        <v>45723</v>
      </c>
      <c r="C791" s="2">
        <v>45724</v>
      </c>
      <c r="D791" s="3">
        <f t="shared" si="96"/>
        <v>1</v>
      </c>
      <c r="E791" t="s">
        <v>2441</v>
      </c>
      <c r="F791" t="s">
        <v>114</v>
      </c>
      <c r="G791" t="s">
        <v>95</v>
      </c>
      <c r="H791" s="4" t="s">
        <v>2760</v>
      </c>
      <c r="I791" t="s">
        <v>26</v>
      </c>
      <c r="J791" t="s">
        <v>109</v>
      </c>
      <c r="K791" t="s">
        <v>74</v>
      </c>
      <c r="L791" t="s">
        <v>80</v>
      </c>
      <c r="M791" t="s">
        <v>2442</v>
      </c>
      <c r="N791" t="s">
        <v>44</v>
      </c>
      <c r="O791">
        <v>4</v>
      </c>
      <c r="P791">
        <v>3537.48</v>
      </c>
      <c r="Q791" s="7">
        <v>0</v>
      </c>
      <c r="R791">
        <v>14149.92</v>
      </c>
      <c r="S791">
        <v>9466.51</v>
      </c>
      <c r="T791">
        <v>4683.41</v>
      </c>
      <c r="U791" t="s">
        <v>32</v>
      </c>
      <c r="V791" t="s">
        <v>33</v>
      </c>
      <c r="W791" s="8">
        <f t="shared" si="97"/>
        <v>0</v>
      </c>
      <c r="X791">
        <f t="shared" si="98"/>
        <v>14149.92</v>
      </c>
      <c r="Y791">
        <f t="shared" si="99"/>
        <v>4683.41</v>
      </c>
      <c r="Z791" s="8">
        <f t="shared" si="100"/>
        <v>0.33098491016203624</v>
      </c>
      <c r="AA791" t="str">
        <f t="shared" si="101"/>
        <v>March</v>
      </c>
      <c r="AB791">
        <f t="shared" si="102"/>
        <v>2025</v>
      </c>
      <c r="AC791" t="str">
        <f t="shared" si="103"/>
        <v>Clean</v>
      </c>
    </row>
    <row r="792" spans="1:29">
      <c r="A792" t="s">
        <v>2443</v>
      </c>
      <c r="B792" s="2">
        <v>45443</v>
      </c>
      <c r="C792" s="2">
        <v>45445</v>
      </c>
      <c r="D792" s="3">
        <f t="shared" si="96"/>
        <v>2</v>
      </c>
      <c r="E792" t="s">
        <v>2444</v>
      </c>
      <c r="F792" t="s">
        <v>118</v>
      </c>
      <c r="G792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2445</v>
      </c>
      <c r="N792" t="s">
        <v>59</v>
      </c>
      <c r="O792">
        <v>8</v>
      </c>
      <c r="P792">
        <v>667.59</v>
      </c>
      <c r="Q792" s="6">
        <v>0.2</v>
      </c>
      <c r="R792">
        <v>4272.58</v>
      </c>
      <c r="S792">
        <v>3328.92</v>
      </c>
      <c r="T792">
        <v>943.66</v>
      </c>
      <c r="U792" t="s">
        <v>32</v>
      </c>
      <c r="V792" t="s">
        <v>33</v>
      </c>
      <c r="W792" s="8">
        <f t="shared" si="97"/>
        <v>0.2</v>
      </c>
      <c r="X792">
        <f t="shared" si="98"/>
        <v>4272.576</v>
      </c>
      <c r="Y792">
        <f t="shared" si="99"/>
        <v>943.65599999999995</v>
      </c>
      <c r="Z792" s="8">
        <f t="shared" si="100"/>
        <v>0.22086347908147214</v>
      </c>
      <c r="AA792" t="str">
        <f t="shared" si="101"/>
        <v>May</v>
      </c>
      <c r="AB792">
        <f t="shared" si="102"/>
        <v>2024</v>
      </c>
      <c r="AC792" t="str">
        <f t="shared" si="103"/>
        <v>Clean</v>
      </c>
    </row>
    <row r="793" spans="1:29">
      <c r="A793" t="s">
        <v>2446</v>
      </c>
      <c r="B793" s="2">
        <v>45567</v>
      </c>
      <c r="C793" s="2">
        <v>45571</v>
      </c>
      <c r="D793" s="3">
        <f t="shared" si="96"/>
        <v>4</v>
      </c>
      <c r="E793" t="s">
        <v>2447</v>
      </c>
      <c r="F793" t="s">
        <v>118</v>
      </c>
      <c r="G793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2448</v>
      </c>
      <c r="N793" t="s">
        <v>44</v>
      </c>
      <c r="O793">
        <v>8</v>
      </c>
      <c r="P793">
        <v>1558.77</v>
      </c>
      <c r="Q793" s="6">
        <v>0.25</v>
      </c>
      <c r="R793">
        <v>9352.6200000000008</v>
      </c>
      <c r="S793">
        <v>5269.41</v>
      </c>
      <c r="T793">
        <v>4083.21</v>
      </c>
      <c r="U793" t="s">
        <v>32</v>
      </c>
      <c r="V793" t="s">
        <v>33</v>
      </c>
      <c r="W793" s="8">
        <f t="shared" si="97"/>
        <v>0.25</v>
      </c>
      <c r="X793">
        <f t="shared" si="98"/>
        <v>9352.619999999999</v>
      </c>
      <c r="Y793">
        <f t="shared" si="99"/>
        <v>4083.2099999999991</v>
      </c>
      <c r="Z793" s="8">
        <f t="shared" si="100"/>
        <v>0.43658461479243243</v>
      </c>
      <c r="AA793" t="str">
        <f t="shared" si="101"/>
        <v>October</v>
      </c>
      <c r="AB793">
        <f t="shared" si="102"/>
        <v>2024</v>
      </c>
      <c r="AC793" t="str">
        <f t="shared" si="103"/>
        <v>Clean</v>
      </c>
    </row>
    <row r="794" spans="1:29">
      <c r="A794" t="s">
        <v>2449</v>
      </c>
      <c r="B794" s="2">
        <v>45812</v>
      </c>
      <c r="C794" s="2">
        <v>45816</v>
      </c>
      <c r="D794" s="3">
        <f t="shared" si="96"/>
        <v>4</v>
      </c>
      <c r="E794" t="s">
        <v>2450</v>
      </c>
      <c r="F794" t="s">
        <v>53</v>
      </c>
      <c r="G794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2451</v>
      </c>
      <c r="N794" t="s">
        <v>31</v>
      </c>
      <c r="O794">
        <v>1</v>
      </c>
      <c r="P794">
        <v>3501.12</v>
      </c>
      <c r="Q794" s="6">
        <v>0.2</v>
      </c>
      <c r="R794">
        <v>2800.9</v>
      </c>
      <c r="S794">
        <v>1735.98</v>
      </c>
      <c r="T794">
        <v>1064.92</v>
      </c>
      <c r="U794" t="s">
        <v>32</v>
      </c>
      <c r="V794" t="s">
        <v>103</v>
      </c>
      <c r="W794" s="8">
        <f t="shared" si="97"/>
        <v>0.2</v>
      </c>
      <c r="X794">
        <f t="shared" si="98"/>
        <v>2800.8960000000002</v>
      </c>
      <c r="Y794">
        <f t="shared" si="99"/>
        <v>1064.9160000000002</v>
      </c>
      <c r="Z794" s="8">
        <f t="shared" si="100"/>
        <v>0.38020547710446945</v>
      </c>
      <c r="AA794" t="str">
        <f t="shared" si="101"/>
        <v>June</v>
      </c>
      <c r="AB794">
        <f t="shared" si="102"/>
        <v>2025</v>
      </c>
      <c r="AC794" t="str">
        <f t="shared" si="103"/>
        <v>Clean</v>
      </c>
    </row>
    <row r="795" spans="1:29">
      <c r="A795" t="s">
        <v>2452</v>
      </c>
      <c r="B795" s="2">
        <v>45440</v>
      </c>
      <c r="C795" s="2">
        <v>45446</v>
      </c>
      <c r="D795" s="3">
        <f t="shared" si="96"/>
        <v>6</v>
      </c>
      <c r="E795" t="s">
        <v>2453</v>
      </c>
      <c r="F795" t="s">
        <v>71</v>
      </c>
      <c r="G79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2454</v>
      </c>
      <c r="N795" t="s">
        <v>31</v>
      </c>
      <c r="O795">
        <v>5</v>
      </c>
      <c r="P795">
        <v>4302.32</v>
      </c>
      <c r="Q795" s="7">
        <v>0</v>
      </c>
      <c r="R795">
        <v>21511.599999999999</v>
      </c>
      <c r="S795">
        <v>15408.47</v>
      </c>
      <c r="T795">
        <v>6103.13</v>
      </c>
      <c r="U795" t="s">
        <v>32</v>
      </c>
      <c r="V795" t="s">
        <v>33</v>
      </c>
      <c r="W795" s="8">
        <f t="shared" si="97"/>
        <v>0</v>
      </c>
      <c r="X795">
        <f t="shared" si="98"/>
        <v>21511.599999999999</v>
      </c>
      <c r="Y795">
        <f t="shared" si="99"/>
        <v>6103.1299999999992</v>
      </c>
      <c r="Z795" s="8">
        <f t="shared" si="100"/>
        <v>0.28371343833094703</v>
      </c>
      <c r="AA795" t="str">
        <f t="shared" si="101"/>
        <v>May</v>
      </c>
      <c r="AB795">
        <f t="shared" si="102"/>
        <v>2024</v>
      </c>
      <c r="AC795" t="str">
        <f t="shared" si="103"/>
        <v>Clean</v>
      </c>
    </row>
    <row r="796" spans="1:29">
      <c r="A796" t="s">
        <v>2455</v>
      </c>
      <c r="B796" s="2">
        <v>45830</v>
      </c>
      <c r="C796" s="2">
        <v>45832</v>
      </c>
      <c r="D796" s="3">
        <f t="shared" si="96"/>
        <v>2</v>
      </c>
      <c r="E796" t="s">
        <v>2456</v>
      </c>
      <c r="F796" t="s">
        <v>132</v>
      </c>
      <c r="G796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2457</v>
      </c>
      <c r="N796" t="s">
        <v>59</v>
      </c>
      <c r="O796">
        <v>9</v>
      </c>
      <c r="P796">
        <v>951.55</v>
      </c>
      <c r="Q796" s="6">
        <v>0.15</v>
      </c>
      <c r="R796">
        <v>7279.36</v>
      </c>
      <c r="S796">
        <v>4870.3900000000003</v>
      </c>
      <c r="T796">
        <v>2408.9699999999998</v>
      </c>
      <c r="U796" t="s">
        <v>32</v>
      </c>
      <c r="V796" t="s">
        <v>33</v>
      </c>
      <c r="W796" s="8">
        <f t="shared" si="97"/>
        <v>0.15</v>
      </c>
      <c r="X796">
        <f t="shared" si="98"/>
        <v>7279.3574999999992</v>
      </c>
      <c r="Y796">
        <f t="shared" si="99"/>
        <v>2408.9674999999988</v>
      </c>
      <c r="Z796" s="8">
        <f t="shared" si="100"/>
        <v>0.33093133562955235</v>
      </c>
      <c r="AA796" t="str">
        <f t="shared" si="101"/>
        <v>June</v>
      </c>
      <c r="AB796">
        <f t="shared" si="102"/>
        <v>2025</v>
      </c>
      <c r="AC796" t="str">
        <f t="shared" si="103"/>
        <v>Clean</v>
      </c>
    </row>
    <row r="797" spans="1:29">
      <c r="A797" t="s">
        <v>2458</v>
      </c>
      <c r="B797" s="2">
        <v>45503</v>
      </c>
      <c r="C797" s="2">
        <v>45503</v>
      </c>
      <c r="D797" s="3">
        <f t="shared" si="96"/>
        <v>0</v>
      </c>
      <c r="E797" t="s">
        <v>2459</v>
      </c>
      <c r="F797" t="s">
        <v>162</v>
      </c>
      <c r="G797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2460</v>
      </c>
      <c r="N797" t="s">
        <v>44</v>
      </c>
      <c r="O797">
        <v>9</v>
      </c>
      <c r="P797">
        <v>2894.66</v>
      </c>
      <c r="Q797" s="7">
        <v>0</v>
      </c>
      <c r="R797">
        <v>26051.94</v>
      </c>
      <c r="S797">
        <v>16883.59</v>
      </c>
      <c r="T797">
        <v>9168.35</v>
      </c>
      <c r="U797" t="s">
        <v>102</v>
      </c>
      <c r="V797" t="s">
        <v>68</v>
      </c>
      <c r="W797" s="8">
        <f t="shared" si="97"/>
        <v>0</v>
      </c>
      <c r="X797">
        <f t="shared" si="98"/>
        <v>26051.94</v>
      </c>
      <c r="Y797">
        <f t="shared" si="99"/>
        <v>9168.3499999999985</v>
      </c>
      <c r="Z797" s="8">
        <f t="shared" si="100"/>
        <v>0.3519258066769691</v>
      </c>
      <c r="AA797" t="str">
        <f t="shared" si="101"/>
        <v>July</v>
      </c>
      <c r="AB797">
        <f t="shared" si="102"/>
        <v>2024</v>
      </c>
      <c r="AC797" t="str">
        <f t="shared" si="103"/>
        <v>Clean</v>
      </c>
    </row>
    <row r="798" spans="1:29">
      <c r="A798" t="s">
        <v>2461</v>
      </c>
      <c r="B798" s="2">
        <v>45374</v>
      </c>
      <c r="C798" s="2">
        <v>45381</v>
      </c>
      <c r="D798" s="3">
        <f t="shared" si="96"/>
        <v>7</v>
      </c>
      <c r="E798" t="s">
        <v>2462</v>
      </c>
      <c r="F798" t="s">
        <v>141</v>
      </c>
      <c r="G798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274</v>
      </c>
      <c r="M798" t="s">
        <v>2463</v>
      </c>
      <c r="N798" t="s">
        <v>50</v>
      </c>
      <c r="O798">
        <v>6</v>
      </c>
      <c r="P798">
        <v>1894.44</v>
      </c>
      <c r="Q798" s="6">
        <v>0.15</v>
      </c>
      <c r="R798">
        <v>9661.64</v>
      </c>
      <c r="S798">
        <v>6303.77</v>
      </c>
      <c r="T798">
        <v>3357.87</v>
      </c>
      <c r="U798" t="s">
        <v>32</v>
      </c>
      <c r="V798" t="s">
        <v>33</v>
      </c>
      <c r="W798" s="8">
        <f t="shared" si="97"/>
        <v>0.15</v>
      </c>
      <c r="X798">
        <f t="shared" si="98"/>
        <v>9661.6439999999984</v>
      </c>
      <c r="Y798">
        <f t="shared" si="99"/>
        <v>3357.873999999998</v>
      </c>
      <c r="Z798" s="8">
        <f t="shared" si="100"/>
        <v>0.34754685641491223</v>
      </c>
      <c r="AA798" t="str">
        <f t="shared" si="101"/>
        <v>March</v>
      </c>
      <c r="AB798">
        <f t="shared" si="102"/>
        <v>2024</v>
      </c>
      <c r="AC798" t="str">
        <f t="shared" si="103"/>
        <v>Clean</v>
      </c>
    </row>
    <row r="799" spans="1:29">
      <c r="A799" t="s">
        <v>2464</v>
      </c>
      <c r="B799" s="2">
        <v>45400</v>
      </c>
      <c r="C799" s="2">
        <v>45404</v>
      </c>
      <c r="D799" s="3">
        <f t="shared" si="96"/>
        <v>4</v>
      </c>
      <c r="E799" t="s">
        <v>2465</v>
      </c>
      <c r="F799" t="s">
        <v>128</v>
      </c>
      <c r="G799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2466</v>
      </c>
      <c r="N799" t="s">
        <v>50</v>
      </c>
      <c r="O799">
        <v>8</v>
      </c>
      <c r="P799">
        <v>1714.37</v>
      </c>
      <c r="Q799" s="7">
        <v>0</v>
      </c>
      <c r="R799">
        <v>13714.96</v>
      </c>
      <c r="S799">
        <v>10550.47</v>
      </c>
      <c r="T799">
        <v>3164.49</v>
      </c>
      <c r="U799" t="s">
        <v>155</v>
      </c>
      <c r="V799" t="s">
        <v>68</v>
      </c>
      <c r="W799" s="8">
        <f t="shared" si="97"/>
        <v>0</v>
      </c>
      <c r="X799">
        <f t="shared" si="98"/>
        <v>13714.96</v>
      </c>
      <c r="Y799">
        <f t="shared" si="99"/>
        <v>3164.49</v>
      </c>
      <c r="Z799" s="8">
        <f t="shared" si="100"/>
        <v>0.23073271814135804</v>
      </c>
      <c r="AA799" t="str">
        <f t="shared" si="101"/>
        <v>April</v>
      </c>
      <c r="AB799">
        <f t="shared" si="102"/>
        <v>2024</v>
      </c>
      <c r="AC799" t="str">
        <f t="shared" si="103"/>
        <v>Clean</v>
      </c>
    </row>
    <row r="800" spans="1:29">
      <c r="A800" t="s">
        <v>2467</v>
      </c>
      <c r="B800" s="2">
        <v>45849</v>
      </c>
      <c r="C800" s="2">
        <v>45907</v>
      </c>
      <c r="D800" s="3">
        <f t="shared" si="96"/>
        <v>58</v>
      </c>
      <c r="E800" t="s">
        <v>2468</v>
      </c>
      <c r="F800" t="s">
        <v>89</v>
      </c>
      <c r="G800" t="s">
        <v>90</v>
      </c>
      <c r="H800" t="s">
        <v>25</v>
      </c>
      <c r="I800" t="s">
        <v>350</v>
      </c>
      <c r="J800" t="s">
        <v>351</v>
      </c>
      <c r="K800" t="s">
        <v>41</v>
      </c>
      <c r="L800" t="s">
        <v>57</v>
      </c>
      <c r="M800" t="s">
        <v>2469</v>
      </c>
      <c r="N800" t="s">
        <v>59</v>
      </c>
      <c r="O800">
        <v>9</v>
      </c>
      <c r="P800">
        <v>1706.05</v>
      </c>
      <c r="Q800" s="7">
        <v>0</v>
      </c>
      <c r="R800">
        <v>15354.45</v>
      </c>
      <c r="S800">
        <v>9656.5</v>
      </c>
      <c r="T800">
        <v>5697.95</v>
      </c>
      <c r="U800" t="s">
        <v>32</v>
      </c>
      <c r="V800" t="s">
        <v>33</v>
      </c>
      <c r="W800" s="8">
        <f t="shared" si="97"/>
        <v>0</v>
      </c>
      <c r="X800">
        <f t="shared" si="98"/>
        <v>15354.449999999999</v>
      </c>
      <c r="Y800">
        <f t="shared" si="99"/>
        <v>5697.9499999999989</v>
      </c>
      <c r="Z800" s="8">
        <f t="shared" si="100"/>
        <v>0.37109437329243311</v>
      </c>
      <c r="AA800" t="str">
        <f t="shared" si="101"/>
        <v>July</v>
      </c>
      <c r="AB800">
        <f t="shared" si="102"/>
        <v>2025</v>
      </c>
      <c r="AC800" t="str">
        <f t="shared" si="103"/>
        <v>Clean</v>
      </c>
    </row>
    <row r="801" spans="1:29">
      <c r="A801" t="s">
        <v>2470</v>
      </c>
      <c r="B801" s="2">
        <v>45575</v>
      </c>
      <c r="C801" s="2">
        <v>45582</v>
      </c>
      <c r="D801" s="3">
        <f t="shared" si="96"/>
        <v>7</v>
      </c>
      <c r="E801" t="s">
        <v>2471</v>
      </c>
      <c r="F801" t="s">
        <v>47</v>
      </c>
      <c r="G801" t="s">
        <v>95</v>
      </c>
      <c r="H801" t="s">
        <v>25</v>
      </c>
      <c r="I801" t="s">
        <v>236</v>
      </c>
      <c r="J801" t="s">
        <v>237</v>
      </c>
      <c r="K801" t="s">
        <v>74</v>
      </c>
      <c r="L801" t="s">
        <v>75</v>
      </c>
      <c r="M801" t="s">
        <v>2472</v>
      </c>
      <c r="N801" s="4" t="s">
        <v>2760</v>
      </c>
      <c r="O801">
        <v>5</v>
      </c>
      <c r="P801">
        <v>967.41</v>
      </c>
      <c r="Q801" s="6">
        <v>0.05</v>
      </c>
      <c r="R801">
        <v>4595.2</v>
      </c>
      <c r="S801">
        <v>3887.41</v>
      </c>
      <c r="T801">
        <v>707.79</v>
      </c>
      <c r="U801" t="s">
        <v>32</v>
      </c>
      <c r="V801" t="s">
        <v>103</v>
      </c>
      <c r="W801" s="8">
        <f t="shared" si="97"/>
        <v>0.05</v>
      </c>
      <c r="X801">
        <f t="shared" si="98"/>
        <v>4595.1975000000002</v>
      </c>
      <c r="Y801">
        <f t="shared" si="99"/>
        <v>707.78750000000036</v>
      </c>
      <c r="Z801" s="8">
        <f t="shared" si="100"/>
        <v>0.15402765604742785</v>
      </c>
      <c r="AA801" t="str">
        <f t="shared" si="101"/>
        <v>October</v>
      </c>
      <c r="AB801">
        <f t="shared" si="102"/>
        <v>2024</v>
      </c>
      <c r="AC801" t="str">
        <f t="shared" si="103"/>
        <v>Clean</v>
      </c>
    </row>
    <row r="802" spans="1:29">
      <c r="A802" t="s">
        <v>2473</v>
      </c>
      <c r="B802" s="2">
        <v>45352</v>
      </c>
      <c r="C802" s="2">
        <v>45358</v>
      </c>
      <c r="D802" s="3">
        <f t="shared" si="96"/>
        <v>6</v>
      </c>
      <c r="E802" t="s">
        <v>2474</v>
      </c>
      <c r="F802" t="s">
        <v>71</v>
      </c>
      <c r="G802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2475</v>
      </c>
      <c r="N802" t="s">
        <v>31</v>
      </c>
      <c r="O802">
        <v>6</v>
      </c>
      <c r="P802">
        <v>4163.72</v>
      </c>
      <c r="Q802" s="6">
        <v>0.15</v>
      </c>
      <c r="R802">
        <v>21234.97</v>
      </c>
      <c r="S802">
        <v>16736.09</v>
      </c>
      <c r="T802">
        <v>4498.88</v>
      </c>
      <c r="U802" t="s">
        <v>32</v>
      </c>
      <c r="V802" t="s">
        <v>33</v>
      </c>
      <c r="W802" s="8">
        <f t="shared" si="97"/>
        <v>0.15</v>
      </c>
      <c r="X802">
        <f t="shared" si="98"/>
        <v>21234.971999999998</v>
      </c>
      <c r="Y802">
        <f t="shared" si="99"/>
        <v>4498.8819999999978</v>
      </c>
      <c r="Z802" s="8">
        <f t="shared" si="100"/>
        <v>0.21186192286950029</v>
      </c>
      <c r="AA802" t="str">
        <f t="shared" si="101"/>
        <v>March</v>
      </c>
      <c r="AB802">
        <f t="shared" si="102"/>
        <v>2024</v>
      </c>
      <c r="AC802" t="str">
        <f t="shared" si="103"/>
        <v>Clean</v>
      </c>
    </row>
    <row r="803" spans="1:29">
      <c r="A803" t="s">
        <v>2476</v>
      </c>
      <c r="B803" s="2">
        <v>45938</v>
      </c>
      <c r="C803" s="2">
        <v>45945</v>
      </c>
      <c r="D803" s="3">
        <f t="shared" si="96"/>
        <v>7</v>
      </c>
      <c r="E803" t="s">
        <v>2477</v>
      </c>
      <c r="F803" t="s">
        <v>128</v>
      </c>
      <c r="G803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2478</v>
      </c>
      <c r="N803" t="s">
        <v>31</v>
      </c>
      <c r="O803">
        <v>3</v>
      </c>
      <c r="P803">
        <v>3372.21</v>
      </c>
      <c r="Q803" s="6">
        <v>0.2</v>
      </c>
      <c r="R803">
        <v>8093.3</v>
      </c>
      <c r="S803">
        <v>6052.43</v>
      </c>
      <c r="T803">
        <v>2040.87</v>
      </c>
      <c r="U803" t="s">
        <v>111</v>
      </c>
      <c r="V803" t="s">
        <v>68</v>
      </c>
      <c r="W803" s="8">
        <f t="shared" si="97"/>
        <v>0.2</v>
      </c>
      <c r="X803">
        <f t="shared" si="98"/>
        <v>8093.304000000001</v>
      </c>
      <c r="Y803">
        <f t="shared" si="99"/>
        <v>2040.8740000000007</v>
      </c>
      <c r="Z803" s="8">
        <f t="shared" si="100"/>
        <v>0.25216821214179036</v>
      </c>
      <c r="AA803" t="str">
        <f t="shared" si="101"/>
        <v>October</v>
      </c>
      <c r="AB803">
        <f t="shared" si="102"/>
        <v>2025</v>
      </c>
      <c r="AC803" t="str">
        <f t="shared" si="103"/>
        <v>Clean</v>
      </c>
    </row>
    <row r="804" spans="1:29">
      <c r="A804" t="s">
        <v>2479</v>
      </c>
      <c r="B804" s="2">
        <v>45704</v>
      </c>
      <c r="C804" s="2">
        <v>45704</v>
      </c>
      <c r="D804" s="3">
        <f t="shared" si="96"/>
        <v>0</v>
      </c>
      <c r="E804" t="s">
        <v>2480</v>
      </c>
      <c r="F804" t="s">
        <v>141</v>
      </c>
      <c r="G804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2481</v>
      </c>
      <c r="N804" t="s">
        <v>31</v>
      </c>
      <c r="O804">
        <v>6</v>
      </c>
      <c r="P804">
        <v>1441.91</v>
      </c>
      <c r="Q804" s="7">
        <v>0</v>
      </c>
      <c r="R804">
        <v>8651.4599999999991</v>
      </c>
      <c r="S804">
        <v>5254.62</v>
      </c>
      <c r="T804">
        <v>3396.84</v>
      </c>
      <c r="U804" t="s">
        <v>155</v>
      </c>
      <c r="V804" t="s">
        <v>103</v>
      </c>
      <c r="W804" s="8">
        <f t="shared" si="97"/>
        <v>0</v>
      </c>
      <c r="X804">
        <f t="shared" si="98"/>
        <v>8651.4600000000009</v>
      </c>
      <c r="Y804">
        <f t="shared" si="99"/>
        <v>3396.8400000000011</v>
      </c>
      <c r="Z804" s="8">
        <f t="shared" si="100"/>
        <v>0.39263199506210522</v>
      </c>
      <c r="AA804" t="str">
        <f t="shared" si="101"/>
        <v>February</v>
      </c>
      <c r="AB804">
        <f t="shared" si="102"/>
        <v>2025</v>
      </c>
      <c r="AC804" t="str">
        <f t="shared" si="103"/>
        <v>Clean</v>
      </c>
    </row>
    <row r="805" spans="1:29">
      <c r="A805" t="s">
        <v>2482</v>
      </c>
      <c r="B805" s="2">
        <v>45635</v>
      </c>
      <c r="C805" s="2">
        <v>45639</v>
      </c>
      <c r="D805" s="3">
        <f t="shared" si="96"/>
        <v>4</v>
      </c>
      <c r="E805" t="s">
        <v>2483</v>
      </c>
      <c r="F805" t="s">
        <v>141</v>
      </c>
      <c r="G805" t="s">
        <v>24</v>
      </c>
      <c r="H805" s="4" t="s">
        <v>2760</v>
      </c>
      <c r="I805" t="s">
        <v>228</v>
      </c>
      <c r="J805" t="s">
        <v>229</v>
      </c>
      <c r="K805" t="s">
        <v>28</v>
      </c>
      <c r="L805" t="s">
        <v>91</v>
      </c>
      <c r="M805" t="s">
        <v>2484</v>
      </c>
      <c r="N805" t="s">
        <v>50</v>
      </c>
      <c r="O805">
        <v>1</v>
      </c>
      <c r="P805">
        <v>4306.6499999999996</v>
      </c>
      <c r="Q805" s="7">
        <v>0</v>
      </c>
      <c r="R805">
        <v>4306.6499999999996</v>
      </c>
      <c r="S805">
        <v>2568.8200000000002</v>
      </c>
      <c r="T805">
        <v>1737.83</v>
      </c>
      <c r="U805" t="s">
        <v>32</v>
      </c>
      <c r="V805" t="s">
        <v>33</v>
      </c>
      <c r="W805" s="8">
        <f t="shared" si="97"/>
        <v>0</v>
      </c>
      <c r="X805">
        <f t="shared" si="98"/>
        <v>4306.6499999999996</v>
      </c>
      <c r="Y805">
        <f t="shared" si="99"/>
        <v>1737.8299999999995</v>
      </c>
      <c r="Z805" s="8">
        <f t="shared" si="100"/>
        <v>0.40352245945224235</v>
      </c>
      <c r="AA805" t="str">
        <f t="shared" si="101"/>
        <v>December</v>
      </c>
      <c r="AB805">
        <f t="shared" si="102"/>
        <v>2024</v>
      </c>
      <c r="AC805" t="str">
        <f t="shared" si="103"/>
        <v>Clean</v>
      </c>
    </row>
    <row r="806" spans="1:29">
      <c r="A806" t="s">
        <v>2485</v>
      </c>
      <c r="B806" s="2">
        <v>45939</v>
      </c>
      <c r="C806" s="2">
        <v>45918</v>
      </c>
      <c r="D806" s="5">
        <f t="shared" si="96"/>
        <v>-21</v>
      </c>
      <c r="E806" t="s">
        <v>2486</v>
      </c>
      <c r="F806" t="s">
        <v>118</v>
      </c>
      <c r="G806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2487</v>
      </c>
      <c r="N806" t="s">
        <v>59</v>
      </c>
      <c r="O806">
        <v>1</v>
      </c>
      <c r="P806">
        <v>2050.62</v>
      </c>
      <c r="Q806" s="6">
        <v>0.05</v>
      </c>
      <c r="R806">
        <v>1948.09</v>
      </c>
      <c r="S806">
        <v>1507.08</v>
      </c>
      <c r="T806">
        <v>441.01</v>
      </c>
      <c r="U806" t="s">
        <v>32</v>
      </c>
      <c r="V806" t="s">
        <v>33</v>
      </c>
      <c r="W806" s="8">
        <f t="shared" si="97"/>
        <v>0.05</v>
      </c>
      <c r="X806">
        <f t="shared" si="98"/>
        <v>1948.0889999999997</v>
      </c>
      <c r="Y806">
        <f t="shared" si="99"/>
        <v>441.00899999999979</v>
      </c>
      <c r="Z806" s="8">
        <f t="shared" si="100"/>
        <v>0.22638031424642296</v>
      </c>
      <c r="AA806" t="str">
        <f t="shared" si="101"/>
        <v>October</v>
      </c>
      <c r="AB806">
        <f t="shared" si="102"/>
        <v>2025</v>
      </c>
      <c r="AC806" t="str">
        <f t="shared" si="103"/>
        <v>Warning</v>
      </c>
    </row>
    <row r="807" spans="1:29">
      <c r="A807" t="s">
        <v>2488</v>
      </c>
      <c r="B807" s="2">
        <v>45753</v>
      </c>
      <c r="C807" s="2">
        <v>45842</v>
      </c>
      <c r="D807" s="3">
        <f t="shared" si="96"/>
        <v>89</v>
      </c>
      <c r="E807" t="s">
        <v>2353</v>
      </c>
      <c r="F807" t="s">
        <v>114</v>
      </c>
      <c r="G807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2489</v>
      </c>
      <c r="N807" t="s">
        <v>31</v>
      </c>
      <c r="O807">
        <v>2</v>
      </c>
      <c r="P807">
        <v>2030.06</v>
      </c>
      <c r="Q807" s="6">
        <v>0.25</v>
      </c>
      <c r="R807">
        <v>3045.09</v>
      </c>
      <c r="S807">
        <v>2601.09</v>
      </c>
      <c r="T807">
        <v>444</v>
      </c>
      <c r="U807" t="s">
        <v>32</v>
      </c>
      <c r="V807" t="s">
        <v>33</v>
      </c>
      <c r="W807" s="8">
        <f t="shared" si="97"/>
        <v>0.25</v>
      </c>
      <c r="X807">
        <f t="shared" si="98"/>
        <v>3045.09</v>
      </c>
      <c r="Y807">
        <f t="shared" si="99"/>
        <v>444</v>
      </c>
      <c r="Z807" s="8">
        <f t="shared" si="100"/>
        <v>0.14580849827098705</v>
      </c>
      <c r="AA807" t="str">
        <f t="shared" si="101"/>
        <v>April</v>
      </c>
      <c r="AB807">
        <f t="shared" si="102"/>
        <v>2025</v>
      </c>
      <c r="AC807" t="str">
        <f t="shared" si="103"/>
        <v>Clean</v>
      </c>
    </row>
    <row r="808" spans="1:29">
      <c r="A808" t="s">
        <v>2490</v>
      </c>
      <c r="B808" s="2">
        <v>45546</v>
      </c>
      <c r="C808" s="2">
        <v>45611</v>
      </c>
      <c r="D808" s="3">
        <f t="shared" si="96"/>
        <v>65</v>
      </c>
      <c r="E808" t="s">
        <v>2491</v>
      </c>
      <c r="F808" t="s">
        <v>47</v>
      </c>
      <c r="G808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2492</v>
      </c>
      <c r="N808" t="s">
        <v>59</v>
      </c>
      <c r="O808">
        <v>1</v>
      </c>
      <c r="P808">
        <v>3665.97</v>
      </c>
      <c r="Q808" s="6">
        <v>0.2</v>
      </c>
      <c r="R808">
        <v>2932.78</v>
      </c>
      <c r="S808">
        <v>1900.35</v>
      </c>
      <c r="T808">
        <v>1032.43</v>
      </c>
      <c r="U808" t="s">
        <v>155</v>
      </c>
      <c r="V808" t="s">
        <v>68</v>
      </c>
      <c r="W808" s="8">
        <f t="shared" si="97"/>
        <v>0.2</v>
      </c>
      <c r="X808">
        <f t="shared" si="98"/>
        <v>2932.7759999999998</v>
      </c>
      <c r="Y808">
        <f t="shared" si="99"/>
        <v>1032.4259999999999</v>
      </c>
      <c r="Z808" s="8">
        <f t="shared" si="100"/>
        <v>0.35203029484692999</v>
      </c>
      <c r="AA808" t="str">
        <f t="shared" si="101"/>
        <v>September</v>
      </c>
      <c r="AB808">
        <f t="shared" si="102"/>
        <v>2024</v>
      </c>
      <c r="AC808" t="str">
        <f t="shared" si="103"/>
        <v>Clean</v>
      </c>
    </row>
    <row r="809" spans="1:29">
      <c r="A809" t="s">
        <v>2493</v>
      </c>
      <c r="B809" s="2">
        <v>45695</v>
      </c>
      <c r="C809" s="2">
        <v>45696</v>
      </c>
      <c r="D809" s="3">
        <f t="shared" si="96"/>
        <v>1</v>
      </c>
      <c r="E809" t="s">
        <v>2494</v>
      </c>
      <c r="F809" t="s">
        <v>23</v>
      </c>
      <c r="G809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2495</v>
      </c>
      <c r="N809" t="s">
        <v>59</v>
      </c>
      <c r="O809">
        <v>2</v>
      </c>
      <c r="P809">
        <v>2432.98</v>
      </c>
      <c r="Q809" s="6">
        <v>0.1</v>
      </c>
      <c r="R809">
        <v>4379.3599999999997</v>
      </c>
      <c r="S809">
        <v>3723.93</v>
      </c>
      <c r="T809">
        <v>655.43</v>
      </c>
      <c r="U809" t="s">
        <v>32</v>
      </c>
      <c r="V809" t="s">
        <v>33</v>
      </c>
      <c r="W809" s="8">
        <f t="shared" si="97"/>
        <v>0.1</v>
      </c>
      <c r="X809">
        <f t="shared" si="98"/>
        <v>4379.3640000000005</v>
      </c>
      <c r="Y809">
        <f t="shared" si="99"/>
        <v>655.43400000000065</v>
      </c>
      <c r="Z809" s="8">
        <f t="shared" si="100"/>
        <v>0.14966419781502532</v>
      </c>
      <c r="AA809" t="str">
        <f t="shared" si="101"/>
        <v>February</v>
      </c>
      <c r="AB809">
        <f t="shared" si="102"/>
        <v>2025</v>
      </c>
      <c r="AC809" t="str">
        <f t="shared" si="103"/>
        <v>Clean</v>
      </c>
    </row>
    <row r="810" spans="1:29">
      <c r="A810" t="s">
        <v>2496</v>
      </c>
      <c r="B810" s="2">
        <v>45900</v>
      </c>
      <c r="C810" s="2">
        <v>45897</v>
      </c>
      <c r="D810" s="5">
        <f t="shared" si="96"/>
        <v>-3</v>
      </c>
      <c r="E810" t="s">
        <v>2497</v>
      </c>
      <c r="F810" t="s">
        <v>128</v>
      </c>
      <c r="G810" t="s">
        <v>37</v>
      </c>
      <c r="H810" t="s">
        <v>54</v>
      </c>
      <c r="I810" t="s">
        <v>247</v>
      </c>
      <c r="J810" t="s">
        <v>248</v>
      </c>
      <c r="K810" t="s">
        <v>41</v>
      </c>
      <c r="L810" t="s">
        <v>57</v>
      </c>
      <c r="M810" t="s">
        <v>2498</v>
      </c>
      <c r="N810" t="s">
        <v>50</v>
      </c>
      <c r="O810">
        <v>7</v>
      </c>
      <c r="P810">
        <v>977.28</v>
      </c>
      <c r="Q810" s="6">
        <v>0.2</v>
      </c>
      <c r="R810">
        <v>5472.77</v>
      </c>
      <c r="S810">
        <v>4477.33</v>
      </c>
      <c r="T810">
        <v>995.44</v>
      </c>
      <c r="U810" t="s">
        <v>32</v>
      </c>
      <c r="V810" t="s">
        <v>33</v>
      </c>
      <c r="W810" s="8">
        <f t="shared" si="97"/>
        <v>0.2</v>
      </c>
      <c r="X810">
        <f t="shared" si="98"/>
        <v>5472.768</v>
      </c>
      <c r="Y810">
        <f t="shared" si="99"/>
        <v>995.4380000000001</v>
      </c>
      <c r="Z810" s="8">
        <f t="shared" si="100"/>
        <v>0.18188931085695575</v>
      </c>
      <c r="AA810" t="str">
        <f t="shared" si="101"/>
        <v>August</v>
      </c>
      <c r="AB810">
        <f t="shared" si="102"/>
        <v>2025</v>
      </c>
      <c r="AC810" t="str">
        <f t="shared" si="103"/>
        <v>Warning</v>
      </c>
    </row>
    <row r="811" spans="1:29">
      <c r="A811" t="s">
        <v>2499</v>
      </c>
      <c r="B811" s="2">
        <v>45833</v>
      </c>
      <c r="C811" s="2">
        <v>45833</v>
      </c>
      <c r="D811" s="3">
        <f t="shared" si="96"/>
        <v>0</v>
      </c>
      <c r="E811" t="s">
        <v>2500</v>
      </c>
      <c r="F811" t="s">
        <v>53</v>
      </c>
      <c r="G811" t="s">
        <v>37</v>
      </c>
      <c r="H811" s="4" t="s">
        <v>2760</v>
      </c>
      <c r="I811" t="s">
        <v>122</v>
      </c>
      <c r="J811" t="s">
        <v>123</v>
      </c>
      <c r="K811" t="s">
        <v>28</v>
      </c>
      <c r="L811" t="s">
        <v>153</v>
      </c>
      <c r="M811" t="s">
        <v>2501</v>
      </c>
      <c r="N811" t="s">
        <v>31</v>
      </c>
      <c r="O811">
        <v>6</v>
      </c>
      <c r="P811">
        <v>1366.13</v>
      </c>
      <c r="Q811" s="6">
        <v>0.1</v>
      </c>
      <c r="R811">
        <v>7377.1</v>
      </c>
      <c r="S811">
        <v>5085.21</v>
      </c>
      <c r="T811">
        <v>2291.89</v>
      </c>
      <c r="U811" t="s">
        <v>32</v>
      </c>
      <c r="V811" t="s">
        <v>33</v>
      </c>
      <c r="W811" s="8">
        <f t="shared" si="97"/>
        <v>0.1</v>
      </c>
      <c r="X811">
        <f t="shared" si="98"/>
        <v>7377.1020000000008</v>
      </c>
      <c r="Y811">
        <f t="shared" si="99"/>
        <v>2291.8920000000007</v>
      </c>
      <c r="Z811" s="8">
        <f t="shared" si="100"/>
        <v>0.31067646888981615</v>
      </c>
      <c r="AA811" t="str">
        <f t="shared" si="101"/>
        <v>June</v>
      </c>
      <c r="AB811">
        <f t="shared" si="102"/>
        <v>2025</v>
      </c>
      <c r="AC811" t="str">
        <f t="shared" si="103"/>
        <v>Clean</v>
      </c>
    </row>
    <row r="812" spans="1:29">
      <c r="A812" t="s">
        <v>2502</v>
      </c>
      <c r="B812" s="2">
        <v>45385</v>
      </c>
      <c r="C812" s="2">
        <v>45508</v>
      </c>
      <c r="D812" s="3">
        <f t="shared" si="96"/>
        <v>123</v>
      </c>
      <c r="E812" t="s">
        <v>1666</v>
      </c>
      <c r="F812" t="s">
        <v>264</v>
      </c>
      <c r="G812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2503</v>
      </c>
      <c r="N812" t="s">
        <v>50</v>
      </c>
      <c r="O812">
        <v>1</v>
      </c>
      <c r="P812">
        <v>3151.85</v>
      </c>
      <c r="Q812" s="6">
        <v>0.25</v>
      </c>
      <c r="R812">
        <v>2363.89</v>
      </c>
      <c r="S812">
        <v>1471.51</v>
      </c>
      <c r="T812">
        <v>892.38</v>
      </c>
      <c r="U812" t="s">
        <v>32</v>
      </c>
      <c r="V812" t="s">
        <v>33</v>
      </c>
      <c r="W812" s="8">
        <f t="shared" si="97"/>
        <v>0.25</v>
      </c>
      <c r="X812">
        <f t="shared" si="98"/>
        <v>2363.8874999999998</v>
      </c>
      <c r="Y812">
        <f t="shared" si="99"/>
        <v>892.37749999999983</v>
      </c>
      <c r="Z812" s="8">
        <f t="shared" si="100"/>
        <v>0.37750421710000998</v>
      </c>
      <c r="AA812" t="str">
        <f t="shared" si="101"/>
        <v>April</v>
      </c>
      <c r="AB812">
        <f t="shared" si="102"/>
        <v>2024</v>
      </c>
      <c r="AC812" t="str">
        <f t="shared" si="103"/>
        <v>Clean</v>
      </c>
    </row>
    <row r="813" spans="1:29">
      <c r="A813" t="s">
        <v>2504</v>
      </c>
      <c r="B813" s="2">
        <v>45638</v>
      </c>
      <c r="C813" s="2">
        <v>45645</v>
      </c>
      <c r="D813" s="3">
        <f t="shared" si="96"/>
        <v>7</v>
      </c>
      <c r="E813" t="s">
        <v>2505</v>
      </c>
      <c r="F813" t="s">
        <v>141</v>
      </c>
      <c r="G813" t="s">
        <v>95</v>
      </c>
      <c r="H813" t="s">
        <v>25</v>
      </c>
      <c r="I813" t="s">
        <v>236</v>
      </c>
      <c r="J813" t="s">
        <v>237</v>
      </c>
      <c r="K813" t="s">
        <v>74</v>
      </c>
      <c r="L813" t="s">
        <v>75</v>
      </c>
      <c r="M813" t="s">
        <v>2506</v>
      </c>
      <c r="N813" t="s">
        <v>50</v>
      </c>
      <c r="O813">
        <v>2</v>
      </c>
      <c r="P813">
        <v>1610.75</v>
      </c>
      <c r="Q813" s="6">
        <v>0.2</v>
      </c>
      <c r="R813">
        <v>2577.1999999999998</v>
      </c>
      <c r="S813">
        <v>1475.87</v>
      </c>
      <c r="T813">
        <v>1101.33</v>
      </c>
      <c r="U813" t="s">
        <v>32</v>
      </c>
      <c r="V813" t="s">
        <v>33</v>
      </c>
      <c r="W813" s="8">
        <f t="shared" si="97"/>
        <v>0.2</v>
      </c>
      <c r="X813">
        <f t="shared" si="98"/>
        <v>2577.2000000000003</v>
      </c>
      <c r="Y813">
        <f t="shared" si="99"/>
        <v>1101.3300000000004</v>
      </c>
      <c r="Z813" s="8">
        <f t="shared" si="100"/>
        <v>0.42733586838429316</v>
      </c>
      <c r="AA813" t="str">
        <f t="shared" si="101"/>
        <v>December</v>
      </c>
      <c r="AB813">
        <f t="shared" si="102"/>
        <v>2024</v>
      </c>
      <c r="AC813" t="str">
        <f t="shared" si="103"/>
        <v>Clean</v>
      </c>
    </row>
    <row r="814" spans="1:29">
      <c r="A814" t="s">
        <v>2507</v>
      </c>
      <c r="B814" s="2">
        <v>45458</v>
      </c>
      <c r="C814" s="2">
        <v>45463</v>
      </c>
      <c r="D814" s="3">
        <f t="shared" si="96"/>
        <v>5</v>
      </c>
      <c r="E814" t="s">
        <v>2508</v>
      </c>
      <c r="F814" t="s">
        <v>132</v>
      </c>
      <c r="G814" t="s">
        <v>37</v>
      </c>
      <c r="H814" t="s">
        <v>38</v>
      </c>
      <c r="I814" t="s">
        <v>228</v>
      </c>
      <c r="J814" t="s">
        <v>229</v>
      </c>
      <c r="K814" t="s">
        <v>41</v>
      </c>
      <c r="L814" t="s">
        <v>42</v>
      </c>
      <c r="M814" t="s">
        <v>2509</v>
      </c>
      <c r="N814" t="s">
        <v>50</v>
      </c>
      <c r="O814">
        <v>8</v>
      </c>
      <c r="P814">
        <v>2228.4699999999998</v>
      </c>
      <c r="Q814" s="7">
        <v>0</v>
      </c>
      <c r="R814">
        <v>17827.759999999998</v>
      </c>
      <c r="S814">
        <v>14122.13</v>
      </c>
      <c r="T814">
        <v>3705.63</v>
      </c>
      <c r="U814" t="s">
        <v>32</v>
      </c>
      <c r="V814" t="s">
        <v>33</v>
      </c>
      <c r="W814" s="8">
        <f t="shared" si="97"/>
        <v>0</v>
      </c>
      <c r="X814">
        <f t="shared" si="98"/>
        <v>17827.759999999998</v>
      </c>
      <c r="Y814">
        <f t="shared" si="99"/>
        <v>3705.6299999999992</v>
      </c>
      <c r="Z814" s="8">
        <f t="shared" si="100"/>
        <v>0.20785729671029896</v>
      </c>
      <c r="AA814" t="str">
        <f t="shared" si="101"/>
        <v>June</v>
      </c>
      <c r="AB814">
        <f t="shared" si="102"/>
        <v>2024</v>
      </c>
      <c r="AC814" t="str">
        <f t="shared" si="103"/>
        <v>Clean</v>
      </c>
    </row>
    <row r="815" spans="1:29">
      <c r="A815" t="s">
        <v>2510</v>
      </c>
      <c r="B815" s="2">
        <v>45753</v>
      </c>
      <c r="C815" s="2">
        <v>45757</v>
      </c>
      <c r="D815" s="3">
        <f t="shared" si="96"/>
        <v>4</v>
      </c>
      <c r="E815" t="s">
        <v>2511</v>
      </c>
      <c r="F815" t="s">
        <v>141</v>
      </c>
      <c r="G81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1121</v>
      </c>
      <c r="N815" t="s">
        <v>59</v>
      </c>
      <c r="O815">
        <v>2</v>
      </c>
      <c r="P815">
        <v>1337.67</v>
      </c>
      <c r="Q815" s="7">
        <v>0</v>
      </c>
      <c r="R815">
        <v>2675.34</v>
      </c>
      <c r="S815">
        <v>1595.87</v>
      </c>
      <c r="T815">
        <v>1079.47</v>
      </c>
      <c r="U815" t="s">
        <v>32</v>
      </c>
      <c r="V815" t="s">
        <v>33</v>
      </c>
      <c r="W815" s="8">
        <f t="shared" si="97"/>
        <v>0</v>
      </c>
      <c r="X815">
        <f t="shared" si="98"/>
        <v>2675.34</v>
      </c>
      <c r="Y815">
        <f t="shared" si="99"/>
        <v>1079.4700000000003</v>
      </c>
      <c r="Z815" s="8">
        <f t="shared" si="100"/>
        <v>0.40348890234512258</v>
      </c>
      <c r="AA815" t="str">
        <f t="shared" si="101"/>
        <v>April</v>
      </c>
      <c r="AB815">
        <f t="shared" si="102"/>
        <v>2025</v>
      </c>
      <c r="AC815" t="str">
        <f t="shared" si="103"/>
        <v>Clean</v>
      </c>
    </row>
    <row r="816" spans="1:29">
      <c r="A816" t="s">
        <v>2512</v>
      </c>
      <c r="B816" s="2">
        <v>45875</v>
      </c>
      <c r="C816" s="2">
        <v>45880</v>
      </c>
      <c r="D816" s="3">
        <f t="shared" si="96"/>
        <v>5</v>
      </c>
      <c r="E816" t="s">
        <v>2513</v>
      </c>
      <c r="F816" t="s">
        <v>53</v>
      </c>
      <c r="G816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2514</v>
      </c>
      <c r="N816" t="s">
        <v>50</v>
      </c>
      <c r="O816">
        <v>2</v>
      </c>
      <c r="P816">
        <v>2375.94</v>
      </c>
      <c r="Q816" s="6">
        <v>0.25</v>
      </c>
      <c r="R816">
        <v>3563.91</v>
      </c>
      <c r="S816">
        <v>2639.7</v>
      </c>
      <c r="T816">
        <v>924.21</v>
      </c>
      <c r="U816" t="s">
        <v>32</v>
      </c>
      <c r="V816" t="s">
        <v>33</v>
      </c>
      <c r="W816" s="8">
        <f t="shared" si="97"/>
        <v>0.25</v>
      </c>
      <c r="X816">
        <f t="shared" si="98"/>
        <v>3563.91</v>
      </c>
      <c r="Y816">
        <f t="shared" si="99"/>
        <v>924.21</v>
      </c>
      <c r="Z816" s="8">
        <f t="shared" si="100"/>
        <v>0.25932473042248544</v>
      </c>
      <c r="AA816" t="str">
        <f t="shared" si="101"/>
        <v>August</v>
      </c>
      <c r="AB816">
        <f t="shared" si="102"/>
        <v>2025</v>
      </c>
      <c r="AC816" t="str">
        <f t="shared" si="103"/>
        <v>Clean</v>
      </c>
    </row>
    <row r="817" spans="1:29">
      <c r="A817" t="s">
        <v>2515</v>
      </c>
      <c r="B817" s="2">
        <v>45383</v>
      </c>
      <c r="C817" s="2">
        <v>45390</v>
      </c>
      <c r="D817" s="3">
        <f t="shared" si="96"/>
        <v>7</v>
      </c>
      <c r="E817" t="s">
        <v>2516</v>
      </c>
      <c r="F817" t="s">
        <v>162</v>
      </c>
      <c r="G817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274</v>
      </c>
      <c r="M817" t="s">
        <v>2517</v>
      </c>
      <c r="N817" t="s">
        <v>59</v>
      </c>
      <c r="O817">
        <v>7</v>
      </c>
      <c r="P817">
        <v>715.81</v>
      </c>
      <c r="Q817" s="6">
        <v>0.15</v>
      </c>
      <c r="R817">
        <v>4259.07</v>
      </c>
      <c r="S817">
        <v>3130.32</v>
      </c>
      <c r="T817">
        <v>1128.75</v>
      </c>
      <c r="U817" t="s">
        <v>111</v>
      </c>
      <c r="V817" t="s">
        <v>68</v>
      </c>
      <c r="W817" s="8">
        <f t="shared" si="97"/>
        <v>0.15</v>
      </c>
      <c r="X817">
        <f t="shared" si="98"/>
        <v>4259.0694999999996</v>
      </c>
      <c r="Y817">
        <f t="shared" si="99"/>
        <v>1128.7494999999994</v>
      </c>
      <c r="Z817" s="8">
        <f t="shared" si="100"/>
        <v>0.26502255950507486</v>
      </c>
      <c r="AA817" t="str">
        <f t="shared" si="101"/>
        <v>April</v>
      </c>
      <c r="AB817">
        <f t="shared" si="102"/>
        <v>2024</v>
      </c>
      <c r="AC817" t="str">
        <f t="shared" si="103"/>
        <v>Clean</v>
      </c>
    </row>
    <row r="818" spans="1:29">
      <c r="A818" t="s">
        <v>2518</v>
      </c>
      <c r="B818" s="2">
        <v>45623</v>
      </c>
      <c r="C818" s="2">
        <v>45626</v>
      </c>
      <c r="D818" s="3">
        <f t="shared" si="96"/>
        <v>3</v>
      </c>
      <c r="E818" t="s">
        <v>2519</v>
      </c>
      <c r="F818" t="s">
        <v>118</v>
      </c>
      <c r="G818" t="s">
        <v>37</v>
      </c>
      <c r="H818" t="s">
        <v>38</v>
      </c>
      <c r="I818" t="s">
        <v>228</v>
      </c>
      <c r="J818" t="s">
        <v>229</v>
      </c>
      <c r="K818" t="s">
        <v>41</v>
      </c>
      <c r="L818" t="s">
        <v>57</v>
      </c>
      <c r="M818" t="s">
        <v>2520</v>
      </c>
      <c r="N818" t="s">
        <v>50</v>
      </c>
      <c r="O818">
        <v>1</v>
      </c>
      <c r="P818">
        <v>874.3</v>
      </c>
      <c r="Q818" s="6">
        <v>0.1</v>
      </c>
      <c r="R818">
        <v>786.87</v>
      </c>
      <c r="S818">
        <v>498.5</v>
      </c>
      <c r="T818">
        <v>288.37</v>
      </c>
      <c r="U818" t="s">
        <v>32</v>
      </c>
      <c r="V818" t="s">
        <v>33</v>
      </c>
      <c r="W818" s="8">
        <f t="shared" si="97"/>
        <v>0.1</v>
      </c>
      <c r="X818">
        <f t="shared" si="98"/>
        <v>786.87</v>
      </c>
      <c r="Y818">
        <f t="shared" si="99"/>
        <v>288.37</v>
      </c>
      <c r="Z818" s="8">
        <f t="shared" si="100"/>
        <v>0.36647730883119195</v>
      </c>
      <c r="AA818" t="str">
        <f t="shared" si="101"/>
        <v>November</v>
      </c>
      <c r="AB818">
        <f t="shared" si="102"/>
        <v>2024</v>
      </c>
      <c r="AC818" t="str">
        <f t="shared" si="103"/>
        <v>Clean</v>
      </c>
    </row>
    <row r="819" spans="1:29">
      <c r="A819" t="s">
        <v>2521</v>
      </c>
      <c r="B819" s="2">
        <v>45752</v>
      </c>
      <c r="C819" s="2">
        <v>45752</v>
      </c>
      <c r="D819" s="3">
        <f t="shared" si="96"/>
        <v>0</v>
      </c>
      <c r="E819" t="s">
        <v>2522</v>
      </c>
      <c r="F819" t="s">
        <v>132</v>
      </c>
      <c r="G819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2523</v>
      </c>
      <c r="N819" t="s">
        <v>59</v>
      </c>
      <c r="O819">
        <v>6</v>
      </c>
      <c r="P819">
        <v>1829.69</v>
      </c>
      <c r="Q819" s="6">
        <v>0.25</v>
      </c>
      <c r="R819">
        <v>8233.6</v>
      </c>
      <c r="S819">
        <v>4713.79</v>
      </c>
      <c r="T819">
        <v>3519.81</v>
      </c>
      <c r="U819" t="s">
        <v>32</v>
      </c>
      <c r="V819" t="s">
        <v>33</v>
      </c>
      <c r="W819" s="8">
        <f t="shared" si="97"/>
        <v>0.25</v>
      </c>
      <c r="X819">
        <f t="shared" si="98"/>
        <v>8233.6049999999996</v>
      </c>
      <c r="Y819">
        <f t="shared" si="99"/>
        <v>3519.8149999999996</v>
      </c>
      <c r="Z819" s="8">
        <f t="shared" si="100"/>
        <v>0.42749378917254349</v>
      </c>
      <c r="AA819" t="str">
        <f t="shared" si="101"/>
        <v>April</v>
      </c>
      <c r="AB819">
        <f t="shared" si="102"/>
        <v>2025</v>
      </c>
      <c r="AC819" t="str">
        <f t="shared" si="103"/>
        <v>Clean</v>
      </c>
    </row>
    <row r="820" spans="1:29">
      <c r="A820" t="s">
        <v>2524</v>
      </c>
      <c r="B820" s="2">
        <v>45564</v>
      </c>
      <c r="C820" s="2">
        <v>45422</v>
      </c>
      <c r="D820" s="5">
        <f t="shared" si="96"/>
        <v>-142</v>
      </c>
      <c r="E820" t="s">
        <v>2525</v>
      </c>
      <c r="F820" t="s">
        <v>114</v>
      </c>
      <c r="G820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2526</v>
      </c>
      <c r="N820" t="s">
        <v>50</v>
      </c>
      <c r="O820">
        <v>8</v>
      </c>
      <c r="P820">
        <v>1981.04</v>
      </c>
      <c r="Q820" s="7">
        <v>-0.14000000000000001</v>
      </c>
      <c r="R820">
        <v>12678.66</v>
      </c>
      <c r="S820">
        <v>10088.65</v>
      </c>
      <c r="T820">
        <v>2590.0100000000002</v>
      </c>
      <c r="U820" t="s">
        <v>32</v>
      </c>
      <c r="V820" t="s">
        <v>33</v>
      </c>
      <c r="W820" s="8">
        <f t="shared" si="97"/>
        <v>-0.14000000000000001</v>
      </c>
      <c r="X820">
        <f t="shared" si="98"/>
        <v>18067.084800000001</v>
      </c>
      <c r="Y820">
        <f t="shared" si="99"/>
        <v>7978.4348000000009</v>
      </c>
      <c r="Z820" s="8">
        <f t="shared" si="100"/>
        <v>0.44160056192352631</v>
      </c>
      <c r="AA820" t="str">
        <f t="shared" si="101"/>
        <v>September</v>
      </c>
      <c r="AB820">
        <f t="shared" si="102"/>
        <v>2024</v>
      </c>
      <c r="AC820" t="str">
        <f t="shared" si="103"/>
        <v>Invalid</v>
      </c>
    </row>
    <row r="821" spans="1:29">
      <c r="A821" t="s">
        <v>2527</v>
      </c>
      <c r="B821" s="2">
        <v>45504</v>
      </c>
      <c r="C821" s="2">
        <v>45504</v>
      </c>
      <c r="D821" s="3">
        <f t="shared" si="96"/>
        <v>0</v>
      </c>
      <c r="E821" t="s">
        <v>2528</v>
      </c>
      <c r="F821" t="s">
        <v>23</v>
      </c>
      <c r="G821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274</v>
      </c>
      <c r="M821" t="s">
        <v>2529</v>
      </c>
      <c r="N821" t="s">
        <v>59</v>
      </c>
      <c r="O821">
        <v>8</v>
      </c>
      <c r="P821">
        <v>4246.01</v>
      </c>
      <c r="Q821" s="7">
        <v>0</v>
      </c>
      <c r="R821">
        <v>33968.080000000002</v>
      </c>
      <c r="S821">
        <v>26902.44</v>
      </c>
      <c r="T821">
        <v>7065.64</v>
      </c>
      <c r="U821" t="s">
        <v>155</v>
      </c>
      <c r="V821" t="s">
        <v>68</v>
      </c>
      <c r="W821" s="8">
        <f t="shared" si="97"/>
        <v>0</v>
      </c>
      <c r="X821">
        <f t="shared" si="98"/>
        <v>33968.080000000002</v>
      </c>
      <c r="Y821">
        <f t="shared" si="99"/>
        <v>7065.6400000000031</v>
      </c>
      <c r="Z821" s="8">
        <f t="shared" si="100"/>
        <v>0.20800822419165294</v>
      </c>
      <c r="AA821" t="str">
        <f t="shared" si="101"/>
        <v>July</v>
      </c>
      <c r="AB821">
        <f t="shared" si="102"/>
        <v>2024</v>
      </c>
      <c r="AC821" t="str">
        <f t="shared" si="103"/>
        <v>Clean</v>
      </c>
    </row>
    <row r="822" spans="1:29">
      <c r="A822" t="s">
        <v>2530</v>
      </c>
      <c r="B822" s="2">
        <v>45810</v>
      </c>
      <c r="C822" s="2">
        <v>45932</v>
      </c>
      <c r="D822" s="3">
        <f t="shared" si="96"/>
        <v>122</v>
      </c>
      <c r="E822" t="s">
        <v>2531</v>
      </c>
      <c r="F822" t="s">
        <v>62</v>
      </c>
      <c r="G822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2532</v>
      </c>
      <c r="N822" t="s">
        <v>59</v>
      </c>
      <c r="O822">
        <v>2</v>
      </c>
      <c r="P822">
        <v>319.57</v>
      </c>
      <c r="Q822" s="6">
        <v>0.2</v>
      </c>
      <c r="R822">
        <v>511.31</v>
      </c>
      <c r="S822">
        <v>436.43</v>
      </c>
      <c r="T822">
        <v>74.88</v>
      </c>
      <c r="U822" t="s">
        <v>32</v>
      </c>
      <c r="V822" t="s">
        <v>33</v>
      </c>
      <c r="W822" s="8">
        <f t="shared" si="97"/>
        <v>0.2</v>
      </c>
      <c r="X822">
        <f t="shared" si="98"/>
        <v>511.31200000000001</v>
      </c>
      <c r="Y822">
        <f t="shared" si="99"/>
        <v>74.882000000000005</v>
      </c>
      <c r="Z822" s="8">
        <f t="shared" si="100"/>
        <v>0.14645069937728825</v>
      </c>
      <c r="AA822" t="str">
        <f t="shared" si="101"/>
        <v>June</v>
      </c>
      <c r="AB822">
        <f t="shared" si="102"/>
        <v>2025</v>
      </c>
      <c r="AC822" t="str">
        <f t="shared" si="103"/>
        <v>Clean</v>
      </c>
    </row>
    <row r="823" spans="1:29">
      <c r="A823" t="s">
        <v>2533</v>
      </c>
      <c r="B823" s="2">
        <v>45476</v>
      </c>
      <c r="C823" s="2">
        <v>45450</v>
      </c>
      <c r="D823" s="5">
        <f t="shared" si="96"/>
        <v>-26</v>
      </c>
      <c r="E823" t="s">
        <v>2534</v>
      </c>
      <c r="F823" t="s">
        <v>128</v>
      </c>
      <c r="G823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2535</v>
      </c>
      <c r="N823" t="s">
        <v>50</v>
      </c>
      <c r="O823">
        <v>7</v>
      </c>
      <c r="P823">
        <v>1942.49</v>
      </c>
      <c r="Q823" s="6">
        <v>0.2</v>
      </c>
      <c r="R823">
        <v>10877.94</v>
      </c>
      <c r="S823">
        <v>9110.14</v>
      </c>
      <c r="T823">
        <v>1767.8</v>
      </c>
      <c r="U823" t="s">
        <v>32</v>
      </c>
      <c r="V823" t="s">
        <v>33</v>
      </c>
      <c r="W823" s="8">
        <f t="shared" si="97"/>
        <v>0.2</v>
      </c>
      <c r="X823">
        <f t="shared" si="98"/>
        <v>10877.944000000001</v>
      </c>
      <c r="Y823">
        <f t="shared" si="99"/>
        <v>1767.8040000000019</v>
      </c>
      <c r="Z823" s="8">
        <f t="shared" si="100"/>
        <v>0.16251269541376584</v>
      </c>
      <c r="AA823" t="str">
        <f t="shared" si="101"/>
        <v>July</v>
      </c>
      <c r="AB823">
        <f t="shared" si="102"/>
        <v>2024</v>
      </c>
      <c r="AC823" t="str">
        <f t="shared" si="103"/>
        <v>Warning</v>
      </c>
    </row>
    <row r="824" spans="1:29">
      <c r="A824" t="s">
        <v>2536</v>
      </c>
      <c r="B824" s="2">
        <v>45577</v>
      </c>
      <c r="C824" s="2">
        <v>45573</v>
      </c>
      <c r="D824" s="5">
        <f t="shared" si="96"/>
        <v>-4</v>
      </c>
      <c r="E824" t="s">
        <v>2537</v>
      </c>
      <c r="F824" t="s">
        <v>36</v>
      </c>
      <c r="G824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2538</v>
      </c>
      <c r="N824" t="s">
        <v>31</v>
      </c>
      <c r="O824">
        <v>4</v>
      </c>
      <c r="P824">
        <v>3202.04</v>
      </c>
      <c r="Q824" s="6">
        <v>0.2</v>
      </c>
      <c r="R824">
        <v>10246.530000000001</v>
      </c>
      <c r="S824">
        <v>8634.42</v>
      </c>
      <c r="T824">
        <v>1612.11</v>
      </c>
      <c r="U824" t="s">
        <v>111</v>
      </c>
      <c r="V824" t="s">
        <v>103</v>
      </c>
      <c r="W824" s="8">
        <f t="shared" si="97"/>
        <v>0.2</v>
      </c>
      <c r="X824">
        <f t="shared" si="98"/>
        <v>10246.528</v>
      </c>
      <c r="Y824">
        <f t="shared" si="99"/>
        <v>1612.1080000000002</v>
      </c>
      <c r="Z824" s="8">
        <f t="shared" si="100"/>
        <v>0.15733212264681268</v>
      </c>
      <c r="AA824" t="str">
        <f t="shared" si="101"/>
        <v>October</v>
      </c>
      <c r="AB824">
        <f t="shared" si="102"/>
        <v>2024</v>
      </c>
      <c r="AC824" t="str">
        <f t="shared" si="103"/>
        <v>Warning</v>
      </c>
    </row>
    <row r="825" spans="1:29">
      <c r="A825" t="s">
        <v>2539</v>
      </c>
      <c r="B825" s="2">
        <v>45663</v>
      </c>
      <c r="C825" s="2">
        <v>45669</v>
      </c>
      <c r="D825" s="3">
        <f t="shared" si="96"/>
        <v>6</v>
      </c>
      <c r="E825" t="s">
        <v>2540</v>
      </c>
      <c r="F825" t="s">
        <v>36</v>
      </c>
      <c r="G82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2541</v>
      </c>
      <c r="N825" t="s">
        <v>44</v>
      </c>
      <c r="O825">
        <v>3</v>
      </c>
      <c r="P825">
        <v>668.33</v>
      </c>
      <c r="Q825" s="6">
        <v>0.15</v>
      </c>
      <c r="R825">
        <v>1704.24</v>
      </c>
      <c r="S825">
        <v>957.55</v>
      </c>
      <c r="T825">
        <v>746.69</v>
      </c>
      <c r="U825" t="s">
        <v>32</v>
      </c>
      <c r="V825" t="s">
        <v>33</v>
      </c>
      <c r="W825" s="8">
        <f t="shared" si="97"/>
        <v>0.15</v>
      </c>
      <c r="X825">
        <f t="shared" si="98"/>
        <v>1704.2415000000001</v>
      </c>
      <c r="Y825">
        <f t="shared" si="99"/>
        <v>746.69150000000013</v>
      </c>
      <c r="Z825" s="8">
        <f t="shared" si="100"/>
        <v>0.43813714194848563</v>
      </c>
      <c r="AA825" t="str">
        <f t="shared" si="101"/>
        <v>January</v>
      </c>
      <c r="AB825">
        <f t="shared" si="102"/>
        <v>2025</v>
      </c>
      <c r="AC825" t="str">
        <f t="shared" si="103"/>
        <v>Clean</v>
      </c>
    </row>
    <row r="826" spans="1:29">
      <c r="A826" t="s">
        <v>2542</v>
      </c>
      <c r="B826" s="2">
        <v>45737</v>
      </c>
      <c r="C826" s="2">
        <v>45738</v>
      </c>
      <c r="D826" s="3">
        <f t="shared" si="96"/>
        <v>1</v>
      </c>
      <c r="E826" t="s">
        <v>2543</v>
      </c>
      <c r="F826" t="s">
        <v>114</v>
      </c>
      <c r="G826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2544</v>
      </c>
      <c r="N826" t="s">
        <v>50</v>
      </c>
      <c r="O826">
        <v>8</v>
      </c>
      <c r="P826">
        <v>4436.74</v>
      </c>
      <c r="Q826" s="6">
        <v>0.05</v>
      </c>
      <c r="R826">
        <v>33719.22</v>
      </c>
      <c r="S826">
        <v>28924.43</v>
      </c>
      <c r="T826">
        <v>4794.79</v>
      </c>
      <c r="U826" t="s">
        <v>32</v>
      </c>
      <c r="V826" t="s">
        <v>33</v>
      </c>
      <c r="W826" s="8">
        <f t="shared" si="97"/>
        <v>0.05</v>
      </c>
      <c r="X826">
        <f t="shared" si="98"/>
        <v>33719.223999999995</v>
      </c>
      <c r="Y826">
        <f t="shared" si="99"/>
        <v>4794.7939999999944</v>
      </c>
      <c r="Z826" s="8">
        <f t="shared" si="100"/>
        <v>0.14219763776295669</v>
      </c>
      <c r="AA826" t="str">
        <f t="shared" si="101"/>
        <v>March</v>
      </c>
      <c r="AB826">
        <f t="shared" si="102"/>
        <v>2025</v>
      </c>
      <c r="AC826" t="str">
        <f t="shared" si="103"/>
        <v>Clean</v>
      </c>
    </row>
    <row r="827" spans="1:29">
      <c r="A827" t="s">
        <v>2545</v>
      </c>
      <c r="B827" s="2">
        <v>45763</v>
      </c>
      <c r="C827" s="2">
        <v>45764</v>
      </c>
      <c r="D827" s="3">
        <f t="shared" si="96"/>
        <v>1</v>
      </c>
      <c r="E827" t="s">
        <v>2546</v>
      </c>
      <c r="F827" t="s">
        <v>71</v>
      </c>
      <c r="G827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274</v>
      </c>
      <c r="M827" t="s">
        <v>2547</v>
      </c>
      <c r="N827" t="s">
        <v>50</v>
      </c>
      <c r="O827">
        <v>1</v>
      </c>
      <c r="P827">
        <v>2720.17</v>
      </c>
      <c r="Q827" s="7">
        <v>0</v>
      </c>
      <c r="R827">
        <v>2720.17</v>
      </c>
      <c r="S827">
        <v>1834.23</v>
      </c>
      <c r="T827">
        <v>885.94</v>
      </c>
      <c r="U827" t="s">
        <v>32</v>
      </c>
      <c r="V827" t="s">
        <v>33</v>
      </c>
      <c r="W827" s="8">
        <f t="shared" si="97"/>
        <v>0</v>
      </c>
      <c r="X827">
        <f t="shared" si="98"/>
        <v>2720.17</v>
      </c>
      <c r="Y827">
        <f t="shared" si="99"/>
        <v>885.94</v>
      </c>
      <c r="Z827" s="8">
        <f t="shared" si="100"/>
        <v>0.3256928794891496</v>
      </c>
      <c r="AA827" t="str">
        <f t="shared" si="101"/>
        <v>April</v>
      </c>
      <c r="AB827">
        <f t="shared" si="102"/>
        <v>2025</v>
      </c>
      <c r="AC827" t="str">
        <f t="shared" si="103"/>
        <v>Clean</v>
      </c>
    </row>
    <row r="828" spans="1:29">
      <c r="A828" t="s">
        <v>2548</v>
      </c>
      <c r="B828" s="2">
        <v>45879</v>
      </c>
      <c r="C828" s="2">
        <v>45883</v>
      </c>
      <c r="D828" s="3">
        <f t="shared" si="96"/>
        <v>4</v>
      </c>
      <c r="E828" t="s">
        <v>2549</v>
      </c>
      <c r="F828" t="s">
        <v>89</v>
      </c>
      <c r="G828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2550</v>
      </c>
      <c r="N828" t="s">
        <v>59</v>
      </c>
      <c r="O828">
        <v>5</v>
      </c>
      <c r="P828">
        <v>2190.14</v>
      </c>
      <c r="Q828" s="6">
        <v>0.25</v>
      </c>
      <c r="R828">
        <v>8213.02</v>
      </c>
      <c r="S828">
        <v>5569.3</v>
      </c>
      <c r="T828">
        <v>2643.72</v>
      </c>
      <c r="U828" t="s">
        <v>32</v>
      </c>
      <c r="V828" t="s">
        <v>33</v>
      </c>
      <c r="W828" s="8">
        <f t="shared" si="97"/>
        <v>0.25</v>
      </c>
      <c r="X828">
        <f t="shared" si="98"/>
        <v>8213.0249999999996</v>
      </c>
      <c r="Y828">
        <f t="shared" si="99"/>
        <v>2643.7249999999995</v>
      </c>
      <c r="Z828" s="8">
        <f t="shared" si="100"/>
        <v>0.32189418636860345</v>
      </c>
      <c r="AA828" t="str">
        <f t="shared" si="101"/>
        <v>August</v>
      </c>
      <c r="AB828">
        <f t="shared" si="102"/>
        <v>2025</v>
      </c>
      <c r="AC828" t="str">
        <f t="shared" si="103"/>
        <v>Clean</v>
      </c>
    </row>
    <row r="829" spans="1:29">
      <c r="A829" t="s">
        <v>2551</v>
      </c>
      <c r="B829" s="2">
        <v>45620</v>
      </c>
      <c r="C829" s="2">
        <v>45303</v>
      </c>
      <c r="D829" s="5">
        <f t="shared" si="96"/>
        <v>-317</v>
      </c>
      <c r="E829" t="s">
        <v>2552</v>
      </c>
      <c r="F829" t="s">
        <v>114</v>
      </c>
      <c r="G829" t="s">
        <v>95</v>
      </c>
      <c r="H829" t="s">
        <v>54</v>
      </c>
      <c r="I829" t="s">
        <v>247</v>
      </c>
      <c r="J829" t="s">
        <v>248</v>
      </c>
      <c r="K829" t="s">
        <v>28</v>
      </c>
      <c r="L829" t="s">
        <v>29</v>
      </c>
      <c r="M829" t="s">
        <v>2553</v>
      </c>
      <c r="N829" t="s">
        <v>44</v>
      </c>
      <c r="O829">
        <v>1</v>
      </c>
      <c r="P829">
        <v>844.89</v>
      </c>
      <c r="Q829" s="6">
        <v>0.25</v>
      </c>
      <c r="R829">
        <v>633.66999999999996</v>
      </c>
      <c r="S829">
        <v>520.47</v>
      </c>
      <c r="T829">
        <v>113.2</v>
      </c>
      <c r="U829" t="s">
        <v>32</v>
      </c>
      <c r="V829" t="s">
        <v>68</v>
      </c>
      <c r="W829" s="8">
        <f t="shared" si="97"/>
        <v>0.25</v>
      </c>
      <c r="X829">
        <f t="shared" si="98"/>
        <v>633.66750000000002</v>
      </c>
      <c r="Y829">
        <f t="shared" si="99"/>
        <v>113.19749999999999</v>
      </c>
      <c r="Z829" s="8">
        <f t="shared" si="100"/>
        <v>0.17863863934950111</v>
      </c>
      <c r="AA829" t="str">
        <f t="shared" si="101"/>
        <v>November</v>
      </c>
      <c r="AB829">
        <f t="shared" si="102"/>
        <v>2024</v>
      </c>
      <c r="AC829" t="str">
        <f t="shared" si="103"/>
        <v>Warning</v>
      </c>
    </row>
    <row r="830" spans="1:29">
      <c r="A830" t="s">
        <v>2554</v>
      </c>
      <c r="B830" s="2">
        <v>45940</v>
      </c>
      <c r="C830" s="2">
        <v>45971</v>
      </c>
      <c r="D830" s="3">
        <f t="shared" si="96"/>
        <v>31</v>
      </c>
      <c r="E830" t="s">
        <v>2555</v>
      </c>
      <c r="F830" t="s">
        <v>23</v>
      </c>
      <c r="G830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2556</v>
      </c>
      <c r="N830" t="s">
        <v>31</v>
      </c>
      <c r="O830">
        <v>7</v>
      </c>
      <c r="P830">
        <v>3791.96</v>
      </c>
      <c r="Q830" s="6">
        <v>0.05</v>
      </c>
      <c r="R830">
        <v>25216.53</v>
      </c>
      <c r="S830">
        <v>14216.94</v>
      </c>
      <c r="T830">
        <v>10999.59</v>
      </c>
      <c r="U830" t="s">
        <v>155</v>
      </c>
      <c r="V830" t="s">
        <v>68</v>
      </c>
      <c r="W830" s="8">
        <f t="shared" si="97"/>
        <v>0.05</v>
      </c>
      <c r="X830">
        <f t="shared" si="98"/>
        <v>25216.534</v>
      </c>
      <c r="Y830">
        <f t="shared" si="99"/>
        <v>10999.593999999999</v>
      </c>
      <c r="Z830" s="8">
        <f t="shared" si="100"/>
        <v>0.4362056260388521</v>
      </c>
      <c r="AA830" t="str">
        <f t="shared" si="101"/>
        <v>October</v>
      </c>
      <c r="AB830">
        <f t="shared" si="102"/>
        <v>2025</v>
      </c>
      <c r="AC830" t="str">
        <f t="shared" si="103"/>
        <v>Clean</v>
      </c>
    </row>
    <row r="831" spans="1:29">
      <c r="A831" t="s">
        <v>2557</v>
      </c>
      <c r="B831" s="2">
        <v>45348</v>
      </c>
      <c r="C831" s="2">
        <v>45350</v>
      </c>
      <c r="D831" s="3">
        <f t="shared" si="96"/>
        <v>2</v>
      </c>
      <c r="E831" t="s">
        <v>2558</v>
      </c>
      <c r="F831" t="s">
        <v>89</v>
      </c>
      <c r="G831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2559</v>
      </c>
      <c r="N831" t="s">
        <v>31</v>
      </c>
      <c r="O831">
        <v>7</v>
      </c>
      <c r="P831">
        <v>1035.1400000000001</v>
      </c>
      <c r="Q831" s="6">
        <v>0.1</v>
      </c>
      <c r="R831">
        <v>6521.38</v>
      </c>
      <c r="S831">
        <v>4511.1000000000004</v>
      </c>
      <c r="T831">
        <v>2010.28</v>
      </c>
      <c r="U831" t="s">
        <v>32</v>
      </c>
      <c r="V831" t="s">
        <v>33</v>
      </c>
      <c r="W831" s="8">
        <f t="shared" si="97"/>
        <v>0.1</v>
      </c>
      <c r="X831">
        <f t="shared" si="98"/>
        <v>6521.3820000000005</v>
      </c>
      <c r="Y831">
        <f t="shared" si="99"/>
        <v>2010.2820000000002</v>
      </c>
      <c r="Z831" s="8">
        <f t="shared" si="100"/>
        <v>0.30826012032418892</v>
      </c>
      <c r="AA831" t="str">
        <f t="shared" si="101"/>
        <v>February</v>
      </c>
      <c r="AB831">
        <f t="shared" si="102"/>
        <v>2024</v>
      </c>
      <c r="AC831" t="str">
        <f t="shared" si="103"/>
        <v>Clean</v>
      </c>
    </row>
    <row r="832" spans="1:29">
      <c r="A832" t="s">
        <v>2560</v>
      </c>
      <c r="B832" s="2">
        <v>45853</v>
      </c>
      <c r="C832" s="2">
        <v>45856</v>
      </c>
      <c r="D832" s="3">
        <f t="shared" si="96"/>
        <v>3</v>
      </c>
      <c r="E832" t="s">
        <v>2561</v>
      </c>
      <c r="F832" t="s">
        <v>89</v>
      </c>
      <c r="G832" t="s">
        <v>37</v>
      </c>
      <c r="H832" s="4" t="s">
        <v>2760</v>
      </c>
      <c r="I832" t="s">
        <v>247</v>
      </c>
      <c r="J832" t="s">
        <v>248</v>
      </c>
      <c r="K832" t="s">
        <v>74</v>
      </c>
      <c r="L832" t="s">
        <v>274</v>
      </c>
      <c r="M832" t="s">
        <v>2562</v>
      </c>
      <c r="N832" t="s">
        <v>50</v>
      </c>
      <c r="O832">
        <v>6</v>
      </c>
      <c r="P832">
        <v>2382.88</v>
      </c>
      <c r="Q832" s="6">
        <v>0.1</v>
      </c>
      <c r="R832">
        <v>12867.55</v>
      </c>
      <c r="S832">
        <v>10068.94</v>
      </c>
      <c r="T832">
        <v>2798.61</v>
      </c>
      <c r="U832" t="s">
        <v>32</v>
      </c>
      <c r="V832" t="s">
        <v>33</v>
      </c>
      <c r="W832" s="8">
        <f t="shared" si="97"/>
        <v>0.1</v>
      </c>
      <c r="X832">
        <f t="shared" si="98"/>
        <v>12867.552000000001</v>
      </c>
      <c r="Y832">
        <f t="shared" si="99"/>
        <v>2798.612000000001</v>
      </c>
      <c r="Z832" s="8">
        <f t="shared" si="100"/>
        <v>0.21749373929089236</v>
      </c>
      <c r="AA832" t="str">
        <f t="shared" si="101"/>
        <v>July</v>
      </c>
      <c r="AB832">
        <f t="shared" si="102"/>
        <v>2025</v>
      </c>
      <c r="AC832" t="str">
        <f t="shared" si="103"/>
        <v>Clean</v>
      </c>
    </row>
    <row r="833" spans="1:29">
      <c r="A833" t="s">
        <v>2563</v>
      </c>
      <c r="B833" s="2">
        <v>45750</v>
      </c>
      <c r="C833" s="2">
        <v>45720</v>
      </c>
      <c r="D833" s="5">
        <f t="shared" si="96"/>
        <v>-30</v>
      </c>
      <c r="E833" t="s">
        <v>2564</v>
      </c>
      <c r="F833" t="s">
        <v>162</v>
      </c>
      <c r="G833" t="s">
        <v>95</v>
      </c>
      <c r="H833" s="4" t="s">
        <v>2760</v>
      </c>
      <c r="I833" t="s">
        <v>236</v>
      </c>
      <c r="J833" t="s">
        <v>237</v>
      </c>
      <c r="K833" t="s">
        <v>41</v>
      </c>
      <c r="L833" t="s">
        <v>66</v>
      </c>
      <c r="M833" t="s">
        <v>2565</v>
      </c>
      <c r="N833" t="s">
        <v>50</v>
      </c>
      <c r="O833">
        <v>9</v>
      </c>
      <c r="P833">
        <v>3462.7</v>
      </c>
      <c r="Q833" s="6">
        <v>0.15</v>
      </c>
      <c r="R833">
        <v>26489.65</v>
      </c>
      <c r="S833">
        <v>15818.46</v>
      </c>
      <c r="T833">
        <v>10671.19</v>
      </c>
      <c r="U833" t="s">
        <v>155</v>
      </c>
      <c r="V833" t="s">
        <v>103</v>
      </c>
      <c r="W833" s="8">
        <f t="shared" si="97"/>
        <v>0.15</v>
      </c>
      <c r="X833">
        <f t="shared" si="98"/>
        <v>26489.654999999999</v>
      </c>
      <c r="Y833">
        <f t="shared" si="99"/>
        <v>10671.195</v>
      </c>
      <c r="Z833" s="8">
        <f t="shared" si="100"/>
        <v>0.40284386489744772</v>
      </c>
      <c r="AA833" t="str">
        <f t="shared" si="101"/>
        <v>April</v>
      </c>
      <c r="AB833">
        <f t="shared" si="102"/>
        <v>2025</v>
      </c>
      <c r="AC833" t="str">
        <f t="shared" si="103"/>
        <v>Warning</v>
      </c>
    </row>
    <row r="834" spans="1:29">
      <c r="A834" t="s">
        <v>2566</v>
      </c>
      <c r="B834" s="2">
        <v>45803</v>
      </c>
      <c r="C834" s="2">
        <v>45805</v>
      </c>
      <c r="D834" s="3">
        <f t="shared" ref="D834:D897" si="104">C834-B834</f>
        <v>2</v>
      </c>
      <c r="E834" t="s">
        <v>2567</v>
      </c>
      <c r="F834" t="s">
        <v>264</v>
      </c>
      <c r="G834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2568</v>
      </c>
      <c r="N834" t="s">
        <v>31</v>
      </c>
      <c r="O834">
        <v>9</v>
      </c>
      <c r="P834">
        <v>4302.0200000000004</v>
      </c>
      <c r="Q834" s="6">
        <v>0.05</v>
      </c>
      <c r="R834">
        <v>36782.269999999997</v>
      </c>
      <c r="S834">
        <v>25902.81</v>
      </c>
      <c r="T834">
        <v>10879.46</v>
      </c>
      <c r="U834" t="s">
        <v>32</v>
      </c>
      <c r="V834" t="s">
        <v>33</v>
      </c>
      <c r="W834" s="8">
        <f t="shared" si="97"/>
        <v>0.05</v>
      </c>
      <c r="X834">
        <f t="shared" si="98"/>
        <v>36782.271000000008</v>
      </c>
      <c r="Y834">
        <f t="shared" si="99"/>
        <v>10879.461000000007</v>
      </c>
      <c r="Z834" s="8">
        <f t="shared" si="100"/>
        <v>0.29578002402298664</v>
      </c>
      <c r="AA834" t="str">
        <f t="shared" si="101"/>
        <v>May</v>
      </c>
      <c r="AB834">
        <f t="shared" si="102"/>
        <v>2025</v>
      </c>
      <c r="AC834" t="str">
        <f t="shared" si="103"/>
        <v>Clean</v>
      </c>
    </row>
    <row r="835" spans="1:29">
      <c r="A835" t="s">
        <v>2569</v>
      </c>
      <c r="B835" s="2">
        <v>45447</v>
      </c>
      <c r="C835" s="2">
        <v>45447</v>
      </c>
      <c r="D835" s="3">
        <f t="shared" si="104"/>
        <v>0</v>
      </c>
      <c r="E835" t="s">
        <v>2570</v>
      </c>
      <c r="F835" t="s">
        <v>118</v>
      </c>
      <c r="G83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2571</v>
      </c>
      <c r="N835" t="s">
        <v>50</v>
      </c>
      <c r="O835">
        <v>6</v>
      </c>
      <c r="P835">
        <v>3949.4</v>
      </c>
      <c r="Q835" s="7">
        <v>0</v>
      </c>
      <c r="R835">
        <v>23696.400000000001</v>
      </c>
      <c r="S835">
        <v>18109.77</v>
      </c>
      <c r="T835">
        <v>5586.63</v>
      </c>
      <c r="U835" t="s">
        <v>32</v>
      </c>
      <c r="V835" t="s">
        <v>33</v>
      </c>
      <c r="W835" s="8">
        <f t="shared" ref="W835:W898" si="105">Q835</f>
        <v>0</v>
      </c>
      <c r="X835">
        <f t="shared" ref="X835:X898" si="106">O835*P835*(1-W835)</f>
        <v>23696.400000000001</v>
      </c>
      <c r="Y835">
        <f t="shared" ref="Y835:Y898" si="107">X835-S835</f>
        <v>5586.630000000001</v>
      </c>
      <c r="Z835" s="8">
        <f t="shared" ref="Z835:Z898" si="108">IF(X835=0,0,Y835/X835)</f>
        <v>0.23575859624246723</v>
      </c>
      <c r="AA835" t="str">
        <f t="shared" ref="AA835:AA898" si="109">TEXT(B835,"mmmm")</f>
        <v>June</v>
      </c>
      <c r="AB835">
        <f t="shared" ref="AB835:AB898" si="110">YEAR(B835)</f>
        <v>2024</v>
      </c>
      <c r="AC835" t="str">
        <f t="shared" ref="AC835:AC898" si="111">IF(Q835&lt;0,"Invalid",IF(D835&lt;0,"Warning","Clean"))</f>
        <v>Clean</v>
      </c>
    </row>
    <row r="836" spans="1:29">
      <c r="A836" t="s">
        <v>2572</v>
      </c>
      <c r="B836" s="2">
        <v>45583</v>
      </c>
      <c r="C836" s="2">
        <v>45587</v>
      </c>
      <c r="D836" s="3">
        <f t="shared" si="104"/>
        <v>4</v>
      </c>
      <c r="E836" t="s">
        <v>2573</v>
      </c>
      <c r="F836" t="s">
        <v>128</v>
      </c>
      <c r="G836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2574</v>
      </c>
      <c r="N836" t="s">
        <v>50</v>
      </c>
      <c r="O836">
        <v>6</v>
      </c>
      <c r="P836">
        <v>674.61</v>
      </c>
      <c r="Q836" s="7">
        <v>0</v>
      </c>
      <c r="R836">
        <v>4047.66</v>
      </c>
      <c r="S836">
        <v>3078.93</v>
      </c>
      <c r="T836">
        <v>1279.79</v>
      </c>
      <c r="U836" t="s">
        <v>32</v>
      </c>
      <c r="V836" t="s">
        <v>33</v>
      </c>
      <c r="W836" s="8">
        <f t="shared" si="105"/>
        <v>0</v>
      </c>
      <c r="X836">
        <f t="shared" si="106"/>
        <v>4047.66</v>
      </c>
      <c r="Y836">
        <f t="shared" si="107"/>
        <v>968.73</v>
      </c>
      <c r="Z836" s="8">
        <f t="shared" si="108"/>
        <v>0.23933087265234729</v>
      </c>
      <c r="AA836" t="str">
        <f t="shared" si="109"/>
        <v>October</v>
      </c>
      <c r="AB836">
        <f t="shared" si="110"/>
        <v>2024</v>
      </c>
      <c r="AC836" t="str">
        <f t="shared" si="111"/>
        <v>Clean</v>
      </c>
    </row>
    <row r="837" spans="1:29">
      <c r="A837" t="s">
        <v>2575</v>
      </c>
      <c r="B837" s="2">
        <v>45926</v>
      </c>
      <c r="C837" s="2">
        <v>45757</v>
      </c>
      <c r="D837" s="5">
        <f t="shared" si="104"/>
        <v>-169</v>
      </c>
      <c r="E837" t="s">
        <v>2576</v>
      </c>
      <c r="F837" t="s">
        <v>114</v>
      </c>
      <c r="G837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2577</v>
      </c>
      <c r="N837" t="s">
        <v>31</v>
      </c>
      <c r="O837">
        <v>7</v>
      </c>
      <c r="P837">
        <v>1509.59</v>
      </c>
      <c r="Q837" s="6">
        <v>0.05</v>
      </c>
      <c r="R837">
        <v>10038.77</v>
      </c>
      <c r="S837">
        <v>5673.1</v>
      </c>
      <c r="T837">
        <v>4365.67</v>
      </c>
      <c r="U837" t="s">
        <v>32</v>
      </c>
      <c r="V837" t="s">
        <v>33</v>
      </c>
      <c r="W837" s="8">
        <f t="shared" si="105"/>
        <v>0.05</v>
      </c>
      <c r="X837">
        <f t="shared" si="106"/>
        <v>10038.773499999999</v>
      </c>
      <c r="Y837">
        <f t="shared" si="107"/>
        <v>4365.673499999999</v>
      </c>
      <c r="Z837" s="8">
        <f t="shared" si="108"/>
        <v>0.43488116352062323</v>
      </c>
      <c r="AA837" t="str">
        <f t="shared" si="109"/>
        <v>September</v>
      </c>
      <c r="AB837">
        <f t="shared" si="110"/>
        <v>2025</v>
      </c>
      <c r="AC837" t="str">
        <f t="shared" si="111"/>
        <v>Warning</v>
      </c>
    </row>
    <row r="838" spans="1:29">
      <c r="A838" t="s">
        <v>2578</v>
      </c>
      <c r="B838" s="2">
        <v>45641</v>
      </c>
      <c r="C838" s="2">
        <v>45644</v>
      </c>
      <c r="D838" s="3">
        <f t="shared" si="104"/>
        <v>3</v>
      </c>
      <c r="E838" t="s">
        <v>2579</v>
      </c>
      <c r="F838" t="s">
        <v>47</v>
      </c>
      <c r="G838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2580</v>
      </c>
      <c r="N838" t="s">
        <v>31</v>
      </c>
      <c r="O838">
        <v>2</v>
      </c>
      <c r="P838">
        <v>537.11</v>
      </c>
      <c r="Q838" s="7">
        <v>0</v>
      </c>
      <c r="R838">
        <v>1074.22</v>
      </c>
      <c r="S838">
        <v>850.86</v>
      </c>
      <c r="T838">
        <v>223.36</v>
      </c>
      <c r="U838" t="s">
        <v>32</v>
      </c>
      <c r="V838" t="s">
        <v>33</v>
      </c>
      <c r="W838" s="8">
        <f t="shared" si="105"/>
        <v>0</v>
      </c>
      <c r="X838">
        <f t="shared" si="106"/>
        <v>1074.22</v>
      </c>
      <c r="Y838">
        <f t="shared" si="107"/>
        <v>223.36</v>
      </c>
      <c r="Z838" s="8">
        <f t="shared" si="108"/>
        <v>0.20792761259332354</v>
      </c>
      <c r="AA838" t="str">
        <f t="shared" si="109"/>
        <v>December</v>
      </c>
      <c r="AB838">
        <f t="shared" si="110"/>
        <v>2024</v>
      </c>
      <c r="AC838" t="str">
        <f t="shared" si="111"/>
        <v>Clean</v>
      </c>
    </row>
    <row r="839" spans="1:29">
      <c r="A839" t="s">
        <v>2581</v>
      </c>
      <c r="B839" s="2">
        <v>45927</v>
      </c>
      <c r="C839" s="2">
        <v>45928</v>
      </c>
      <c r="D839" s="3">
        <f t="shared" si="104"/>
        <v>1</v>
      </c>
      <c r="E839" t="s">
        <v>2582</v>
      </c>
      <c r="F839" t="s">
        <v>23</v>
      </c>
      <c r="G839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2583</v>
      </c>
      <c r="N839" t="s">
        <v>50</v>
      </c>
      <c r="O839">
        <v>3</v>
      </c>
      <c r="P839">
        <v>4177.63</v>
      </c>
      <c r="Q839" s="6">
        <v>0.25</v>
      </c>
      <c r="R839">
        <v>9399.67</v>
      </c>
      <c r="S839">
        <v>6540.37</v>
      </c>
      <c r="T839">
        <v>2859.3</v>
      </c>
      <c r="U839" t="s">
        <v>32</v>
      </c>
      <c r="V839" t="s">
        <v>33</v>
      </c>
      <c r="W839" s="8">
        <f t="shared" si="105"/>
        <v>0.25</v>
      </c>
      <c r="X839">
        <f t="shared" si="106"/>
        <v>9399.6674999999996</v>
      </c>
      <c r="Y839">
        <f t="shared" si="107"/>
        <v>2859.2974999999997</v>
      </c>
      <c r="Z839" s="8">
        <f t="shared" si="108"/>
        <v>0.30419134506619516</v>
      </c>
      <c r="AA839" t="str">
        <f t="shared" si="109"/>
        <v>September</v>
      </c>
      <c r="AB839">
        <f t="shared" si="110"/>
        <v>2025</v>
      </c>
      <c r="AC839" t="str">
        <f t="shared" si="111"/>
        <v>Clean</v>
      </c>
    </row>
    <row r="840" spans="1:29">
      <c r="A840" t="s">
        <v>2584</v>
      </c>
      <c r="B840" s="2">
        <v>45750</v>
      </c>
      <c r="C840" s="2">
        <v>45754</v>
      </c>
      <c r="D840" s="3">
        <f t="shared" si="104"/>
        <v>4</v>
      </c>
      <c r="E840" t="s">
        <v>2585</v>
      </c>
      <c r="F840" t="s">
        <v>62</v>
      </c>
      <c r="G840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2586</v>
      </c>
      <c r="N840" t="s">
        <v>44</v>
      </c>
      <c r="O840">
        <v>1</v>
      </c>
      <c r="P840">
        <v>1470.57</v>
      </c>
      <c r="Q840" s="7">
        <v>0</v>
      </c>
      <c r="R840">
        <v>1470.57</v>
      </c>
      <c r="S840">
        <v>834.02</v>
      </c>
      <c r="T840">
        <v>636.54999999999995</v>
      </c>
      <c r="U840" t="s">
        <v>32</v>
      </c>
      <c r="V840" t="s">
        <v>103</v>
      </c>
      <c r="W840" s="8">
        <f t="shared" si="105"/>
        <v>0</v>
      </c>
      <c r="X840">
        <f t="shared" si="106"/>
        <v>1470.57</v>
      </c>
      <c r="Y840">
        <f t="shared" si="107"/>
        <v>636.54999999999995</v>
      </c>
      <c r="Z840" s="8">
        <f t="shared" si="108"/>
        <v>0.43285936745615644</v>
      </c>
      <c r="AA840" t="str">
        <f t="shared" si="109"/>
        <v>April</v>
      </c>
      <c r="AB840">
        <f t="shared" si="110"/>
        <v>2025</v>
      </c>
      <c r="AC840" t="str">
        <f t="shared" si="111"/>
        <v>Clean</v>
      </c>
    </row>
    <row r="841" spans="1:29">
      <c r="A841" t="s">
        <v>2587</v>
      </c>
      <c r="B841" s="2">
        <v>45555</v>
      </c>
      <c r="C841" s="2">
        <v>45557</v>
      </c>
      <c r="D841" s="3">
        <f t="shared" si="104"/>
        <v>2</v>
      </c>
      <c r="E841" t="s">
        <v>2588</v>
      </c>
      <c r="F841" t="s">
        <v>141</v>
      </c>
      <c r="G841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2589</v>
      </c>
      <c r="N841" t="s">
        <v>59</v>
      </c>
      <c r="O841">
        <v>8</v>
      </c>
      <c r="P841">
        <v>531.42999999999995</v>
      </c>
      <c r="Q841" s="6">
        <v>0.1</v>
      </c>
      <c r="R841">
        <v>3826.3</v>
      </c>
      <c r="S841">
        <v>2194.12</v>
      </c>
      <c r="T841">
        <v>1632.18</v>
      </c>
      <c r="U841" t="s">
        <v>32</v>
      </c>
      <c r="V841" t="s">
        <v>33</v>
      </c>
      <c r="W841" s="8">
        <f t="shared" si="105"/>
        <v>0.1</v>
      </c>
      <c r="X841">
        <f t="shared" si="106"/>
        <v>3826.2959999999998</v>
      </c>
      <c r="Y841">
        <f t="shared" si="107"/>
        <v>1632.1759999999999</v>
      </c>
      <c r="Z841" s="8">
        <f t="shared" si="108"/>
        <v>0.42656814841298218</v>
      </c>
      <c r="AA841" t="str">
        <f t="shared" si="109"/>
        <v>September</v>
      </c>
      <c r="AB841">
        <f t="shared" si="110"/>
        <v>2024</v>
      </c>
      <c r="AC841" t="str">
        <f t="shared" si="111"/>
        <v>Clean</v>
      </c>
    </row>
    <row r="842" spans="1:29">
      <c r="A842" t="s">
        <v>2590</v>
      </c>
      <c r="B842" s="2">
        <v>45919</v>
      </c>
      <c r="C842" s="2">
        <v>45919</v>
      </c>
      <c r="D842" s="3">
        <f t="shared" si="104"/>
        <v>0</v>
      </c>
      <c r="E842" t="s">
        <v>2591</v>
      </c>
      <c r="F842" t="s">
        <v>79</v>
      </c>
      <c r="G842" t="s">
        <v>95</v>
      </c>
      <c r="H842" t="s">
        <v>25</v>
      </c>
      <c r="I842" t="s">
        <v>350</v>
      </c>
      <c r="J842" t="s">
        <v>351</v>
      </c>
      <c r="K842" t="s">
        <v>41</v>
      </c>
      <c r="L842" t="s">
        <v>66</v>
      </c>
      <c r="M842" t="s">
        <v>2592</v>
      </c>
      <c r="N842" t="s">
        <v>44</v>
      </c>
      <c r="O842">
        <v>4</v>
      </c>
      <c r="P842">
        <v>1584.11</v>
      </c>
      <c r="Q842" s="7">
        <v>0</v>
      </c>
      <c r="R842">
        <v>6336.44</v>
      </c>
      <c r="S842">
        <v>4680.68</v>
      </c>
      <c r="T842">
        <v>1655.76</v>
      </c>
      <c r="U842" t="s">
        <v>32</v>
      </c>
      <c r="V842" t="s">
        <v>33</v>
      </c>
      <c r="W842" s="8">
        <f t="shared" si="105"/>
        <v>0</v>
      </c>
      <c r="X842">
        <f t="shared" si="106"/>
        <v>6336.44</v>
      </c>
      <c r="Y842">
        <f t="shared" si="107"/>
        <v>1655.7599999999993</v>
      </c>
      <c r="Z842" s="8">
        <f t="shared" si="108"/>
        <v>0.26130761121386764</v>
      </c>
      <c r="AA842" t="str">
        <f t="shared" si="109"/>
        <v>September</v>
      </c>
      <c r="AB842">
        <f t="shared" si="110"/>
        <v>2025</v>
      </c>
      <c r="AC842" t="str">
        <f t="shared" si="111"/>
        <v>Clean</v>
      </c>
    </row>
    <row r="843" spans="1:29">
      <c r="A843" t="s">
        <v>2593</v>
      </c>
      <c r="B843" s="2">
        <v>45694</v>
      </c>
      <c r="C843" s="2">
        <v>45700</v>
      </c>
      <c r="D843" s="3">
        <f t="shared" si="104"/>
        <v>6</v>
      </c>
      <c r="E843" t="s">
        <v>2594</v>
      </c>
      <c r="F843" t="s">
        <v>62</v>
      </c>
      <c r="G843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2595</v>
      </c>
      <c r="N843" t="s">
        <v>59</v>
      </c>
      <c r="O843">
        <v>9</v>
      </c>
      <c r="P843">
        <v>3237.16</v>
      </c>
      <c r="Q843" s="6">
        <v>0.25</v>
      </c>
      <c r="R843">
        <v>21850.83</v>
      </c>
      <c r="S843">
        <v>16600.13</v>
      </c>
      <c r="T843">
        <v>5250.7</v>
      </c>
      <c r="U843" t="s">
        <v>32</v>
      </c>
      <c r="V843" t="s">
        <v>33</v>
      </c>
      <c r="W843" s="8">
        <f t="shared" si="105"/>
        <v>0.25</v>
      </c>
      <c r="X843">
        <f t="shared" si="106"/>
        <v>21850.829999999998</v>
      </c>
      <c r="Y843">
        <f t="shared" si="107"/>
        <v>5250.6999999999971</v>
      </c>
      <c r="Z843" s="8">
        <f t="shared" si="108"/>
        <v>0.2402975081495759</v>
      </c>
      <c r="AA843" t="str">
        <f t="shared" si="109"/>
        <v>February</v>
      </c>
      <c r="AB843">
        <f t="shared" si="110"/>
        <v>2025</v>
      </c>
      <c r="AC843" t="str">
        <f t="shared" si="111"/>
        <v>Clean</v>
      </c>
    </row>
    <row r="844" spans="1:29">
      <c r="A844" t="s">
        <v>2596</v>
      </c>
      <c r="B844" s="2">
        <v>45382</v>
      </c>
      <c r="C844" s="2">
        <v>45381</v>
      </c>
      <c r="D844" s="5">
        <f t="shared" si="104"/>
        <v>-1</v>
      </c>
      <c r="E844" t="s">
        <v>2597</v>
      </c>
      <c r="F844" t="s">
        <v>264</v>
      </c>
      <c r="G844" t="s">
        <v>24</v>
      </c>
      <c r="H844" t="s">
        <v>25</v>
      </c>
      <c r="I844" t="s">
        <v>236</v>
      </c>
      <c r="J844" t="s">
        <v>237</v>
      </c>
      <c r="K844" t="s">
        <v>74</v>
      </c>
      <c r="L844" t="s">
        <v>274</v>
      </c>
      <c r="M844" t="s">
        <v>2598</v>
      </c>
      <c r="N844" t="s">
        <v>50</v>
      </c>
      <c r="O844">
        <v>4</v>
      </c>
      <c r="P844">
        <v>2192.08</v>
      </c>
      <c r="Q844" s="6">
        <v>0.15</v>
      </c>
      <c r="R844">
        <v>7453.07</v>
      </c>
      <c r="S844">
        <v>5133.78</v>
      </c>
      <c r="T844">
        <v>2319.29</v>
      </c>
      <c r="U844" t="s">
        <v>32</v>
      </c>
      <c r="V844" t="s">
        <v>103</v>
      </c>
      <c r="W844" s="8">
        <f t="shared" si="105"/>
        <v>0.15</v>
      </c>
      <c r="X844">
        <f t="shared" si="106"/>
        <v>7453.0719999999992</v>
      </c>
      <c r="Y844">
        <f t="shared" si="107"/>
        <v>2319.2919999999995</v>
      </c>
      <c r="Z844" s="8">
        <f t="shared" si="108"/>
        <v>0.31118604516365866</v>
      </c>
      <c r="AA844" t="str">
        <f t="shared" si="109"/>
        <v>March</v>
      </c>
      <c r="AB844">
        <f t="shared" si="110"/>
        <v>2024</v>
      </c>
      <c r="AC844" t="str">
        <f t="shared" si="111"/>
        <v>Warning</v>
      </c>
    </row>
    <row r="845" spans="1:29">
      <c r="A845" t="s">
        <v>2599</v>
      </c>
      <c r="B845" s="2">
        <v>45856</v>
      </c>
      <c r="C845" s="2">
        <v>45863</v>
      </c>
      <c r="D845" s="3">
        <f t="shared" si="104"/>
        <v>7</v>
      </c>
      <c r="E845" t="s">
        <v>2600</v>
      </c>
      <c r="F845" t="s">
        <v>114</v>
      </c>
      <c r="G84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2601</v>
      </c>
      <c r="N845" t="s">
        <v>50</v>
      </c>
      <c r="O845">
        <v>9</v>
      </c>
      <c r="P845">
        <v>3989.52</v>
      </c>
      <c r="Q845" s="7">
        <v>-0.02</v>
      </c>
      <c r="R845">
        <v>35905.68</v>
      </c>
      <c r="S845">
        <v>23916.1</v>
      </c>
      <c r="T845">
        <v>11989.58</v>
      </c>
      <c r="U845" t="s">
        <v>32</v>
      </c>
      <c r="V845" t="s">
        <v>33</v>
      </c>
      <c r="W845" s="8">
        <f t="shared" si="105"/>
        <v>-0.02</v>
      </c>
      <c r="X845">
        <f t="shared" si="106"/>
        <v>36623.793600000005</v>
      </c>
      <c r="Y845">
        <f t="shared" si="107"/>
        <v>12707.693600000006</v>
      </c>
      <c r="Z845" s="8">
        <f t="shared" si="108"/>
        <v>0.34697917257812433</v>
      </c>
      <c r="AA845" t="str">
        <f t="shared" si="109"/>
        <v>July</v>
      </c>
      <c r="AB845">
        <f t="shared" si="110"/>
        <v>2025</v>
      </c>
      <c r="AC845" t="str">
        <f t="shared" si="111"/>
        <v>Invalid</v>
      </c>
    </row>
    <row r="846" spans="1:29">
      <c r="A846" t="s">
        <v>2602</v>
      </c>
      <c r="B846" s="2">
        <v>45677</v>
      </c>
      <c r="C846" s="2">
        <v>45682</v>
      </c>
      <c r="D846" s="3">
        <f t="shared" si="104"/>
        <v>5</v>
      </c>
      <c r="E846" t="s">
        <v>2603</v>
      </c>
      <c r="F846" t="s">
        <v>89</v>
      </c>
      <c r="G846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2604</v>
      </c>
      <c r="N846" t="s">
        <v>50</v>
      </c>
      <c r="O846">
        <v>1</v>
      </c>
      <c r="P846">
        <v>3515.15</v>
      </c>
      <c r="Q846" s="7">
        <v>0</v>
      </c>
      <c r="R846">
        <v>3515.15</v>
      </c>
      <c r="S846">
        <v>2216.34</v>
      </c>
      <c r="T846">
        <v>1298.81</v>
      </c>
      <c r="U846" t="s">
        <v>32</v>
      </c>
      <c r="V846" t="s">
        <v>33</v>
      </c>
      <c r="W846" s="8">
        <f t="shared" si="105"/>
        <v>0</v>
      </c>
      <c r="X846">
        <f t="shared" si="106"/>
        <v>3515.15</v>
      </c>
      <c r="Y846">
        <f t="shared" si="107"/>
        <v>1298.81</v>
      </c>
      <c r="Z846" s="8">
        <f t="shared" si="108"/>
        <v>0.36948921098672882</v>
      </c>
      <c r="AA846" t="str">
        <f t="shared" si="109"/>
        <v>January</v>
      </c>
      <c r="AB846">
        <f t="shared" si="110"/>
        <v>2025</v>
      </c>
      <c r="AC846" t="str">
        <f t="shared" si="111"/>
        <v>Clean</v>
      </c>
    </row>
    <row r="847" spans="1:29">
      <c r="A847" t="s">
        <v>2605</v>
      </c>
      <c r="B847" s="2">
        <v>45345</v>
      </c>
      <c r="C847" s="2">
        <v>45349</v>
      </c>
      <c r="D847" s="3">
        <f t="shared" si="104"/>
        <v>4</v>
      </c>
      <c r="E847" t="s">
        <v>592</v>
      </c>
      <c r="F847" t="s">
        <v>23</v>
      </c>
      <c r="G847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2606</v>
      </c>
      <c r="N847" t="s">
        <v>50</v>
      </c>
      <c r="O847">
        <v>9</v>
      </c>
      <c r="P847">
        <v>3616.23</v>
      </c>
      <c r="Q847" s="6">
        <v>0.25</v>
      </c>
      <c r="R847">
        <v>24409.55</v>
      </c>
      <c r="S847">
        <v>17157.580000000002</v>
      </c>
      <c r="T847">
        <v>7251.97</v>
      </c>
      <c r="U847" t="s">
        <v>111</v>
      </c>
      <c r="V847" t="s">
        <v>103</v>
      </c>
      <c r="W847" s="8">
        <f t="shared" si="105"/>
        <v>0.25</v>
      </c>
      <c r="X847">
        <f t="shared" si="106"/>
        <v>24409.552499999998</v>
      </c>
      <c r="Y847">
        <f t="shared" si="107"/>
        <v>7251.9724999999962</v>
      </c>
      <c r="Z847" s="8">
        <f t="shared" si="108"/>
        <v>0.29709567596538267</v>
      </c>
      <c r="AA847" t="str">
        <f t="shared" si="109"/>
        <v>February</v>
      </c>
      <c r="AB847">
        <f t="shared" si="110"/>
        <v>2024</v>
      </c>
      <c r="AC847" t="str">
        <f t="shared" si="111"/>
        <v>Clean</v>
      </c>
    </row>
    <row r="848" spans="1:29">
      <c r="A848" t="s">
        <v>2607</v>
      </c>
      <c r="B848" s="2">
        <v>45396</v>
      </c>
      <c r="C848" s="2">
        <v>45404</v>
      </c>
      <c r="D848" s="3">
        <f t="shared" si="104"/>
        <v>8</v>
      </c>
      <c r="E848" t="s">
        <v>2608</v>
      </c>
      <c r="F848" t="s">
        <v>114</v>
      </c>
      <c r="G848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2609</v>
      </c>
      <c r="N848" t="s">
        <v>59</v>
      </c>
      <c r="O848">
        <v>2</v>
      </c>
      <c r="P848">
        <v>3977.52</v>
      </c>
      <c r="Q848" s="7">
        <v>0</v>
      </c>
      <c r="R848">
        <v>7955.04</v>
      </c>
      <c r="S848">
        <v>5580.68</v>
      </c>
      <c r="T848">
        <v>2374.36</v>
      </c>
      <c r="U848" t="s">
        <v>111</v>
      </c>
      <c r="V848" t="s">
        <v>103</v>
      </c>
      <c r="W848" s="8">
        <f t="shared" si="105"/>
        <v>0</v>
      </c>
      <c r="X848">
        <f t="shared" si="106"/>
        <v>7955.04</v>
      </c>
      <c r="Y848">
        <f t="shared" si="107"/>
        <v>2374.3599999999997</v>
      </c>
      <c r="Z848" s="8">
        <f t="shared" si="108"/>
        <v>0.29847241497214339</v>
      </c>
      <c r="AA848" t="str">
        <f t="shared" si="109"/>
        <v>April</v>
      </c>
      <c r="AB848">
        <f t="shared" si="110"/>
        <v>2024</v>
      </c>
      <c r="AC848" t="str">
        <f t="shared" si="111"/>
        <v>Clean</v>
      </c>
    </row>
    <row r="849" spans="1:29">
      <c r="A849" t="s">
        <v>2610</v>
      </c>
      <c r="B849" s="2">
        <v>45797</v>
      </c>
      <c r="C849" s="2">
        <v>45799</v>
      </c>
      <c r="D849" s="3">
        <f t="shared" si="104"/>
        <v>2</v>
      </c>
      <c r="E849" t="s">
        <v>2611</v>
      </c>
      <c r="F849" t="s">
        <v>162</v>
      </c>
      <c r="G849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2612</v>
      </c>
      <c r="N849" t="s">
        <v>31</v>
      </c>
      <c r="O849">
        <v>2</v>
      </c>
      <c r="P849">
        <v>210.08</v>
      </c>
      <c r="Q849" s="6">
        <v>0.2</v>
      </c>
      <c r="R849">
        <v>336.13</v>
      </c>
      <c r="S849">
        <v>242.19</v>
      </c>
      <c r="T849">
        <v>93.94</v>
      </c>
      <c r="U849" t="s">
        <v>32</v>
      </c>
      <c r="V849" t="s">
        <v>33</v>
      </c>
      <c r="W849" s="8">
        <f t="shared" si="105"/>
        <v>0.2</v>
      </c>
      <c r="X849">
        <f t="shared" si="106"/>
        <v>336.12800000000004</v>
      </c>
      <c r="Y849">
        <f t="shared" si="107"/>
        <v>93.938000000000045</v>
      </c>
      <c r="Z849" s="8">
        <f t="shared" si="108"/>
        <v>0.27947091584158423</v>
      </c>
      <c r="AA849" t="str">
        <f t="shared" si="109"/>
        <v>May</v>
      </c>
      <c r="AB849">
        <f t="shared" si="110"/>
        <v>2025</v>
      </c>
      <c r="AC849" t="str">
        <f t="shared" si="111"/>
        <v>Clean</v>
      </c>
    </row>
    <row r="850" spans="1:29">
      <c r="A850" t="s">
        <v>2613</v>
      </c>
      <c r="B850" s="2">
        <v>45804</v>
      </c>
      <c r="C850" s="2">
        <v>45806</v>
      </c>
      <c r="D850" s="3">
        <f t="shared" si="104"/>
        <v>2</v>
      </c>
      <c r="E850" t="s">
        <v>2614</v>
      </c>
      <c r="F850" t="s">
        <v>118</v>
      </c>
      <c r="G850" t="s">
        <v>95</v>
      </c>
      <c r="H850" t="s">
        <v>54</v>
      </c>
      <c r="I850" t="s">
        <v>247</v>
      </c>
      <c r="J850" t="s">
        <v>248</v>
      </c>
      <c r="K850" t="s">
        <v>41</v>
      </c>
      <c r="L850" t="s">
        <v>57</v>
      </c>
      <c r="M850" t="s">
        <v>2615</v>
      </c>
      <c r="N850" t="s">
        <v>31</v>
      </c>
      <c r="O850">
        <v>1</v>
      </c>
      <c r="P850">
        <v>1744.35</v>
      </c>
      <c r="Q850" s="6">
        <v>0.25</v>
      </c>
      <c r="R850">
        <v>1308.26</v>
      </c>
      <c r="S850">
        <v>1083.56</v>
      </c>
      <c r="T850">
        <v>224.7</v>
      </c>
      <c r="U850" t="s">
        <v>32</v>
      </c>
      <c r="V850" t="s">
        <v>33</v>
      </c>
      <c r="W850" s="8">
        <f t="shared" si="105"/>
        <v>0.25</v>
      </c>
      <c r="X850">
        <f t="shared" si="106"/>
        <v>1308.2624999999998</v>
      </c>
      <c r="Y850">
        <f t="shared" si="107"/>
        <v>224.70249999999987</v>
      </c>
      <c r="Z850" s="8">
        <f t="shared" si="108"/>
        <v>0.17175643267310645</v>
      </c>
      <c r="AA850" t="str">
        <f t="shared" si="109"/>
        <v>May</v>
      </c>
      <c r="AB850">
        <f t="shared" si="110"/>
        <v>2025</v>
      </c>
      <c r="AC850" t="str">
        <f t="shared" si="111"/>
        <v>Clean</v>
      </c>
    </row>
    <row r="851" spans="1:29">
      <c r="A851" t="s">
        <v>2616</v>
      </c>
      <c r="B851" s="2">
        <v>45357</v>
      </c>
      <c r="C851" s="2">
        <v>45629</v>
      </c>
      <c r="D851" s="3">
        <f t="shared" si="104"/>
        <v>272</v>
      </c>
      <c r="E851" t="s">
        <v>2617</v>
      </c>
      <c r="F851" t="s">
        <v>47</v>
      </c>
      <c r="G851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2618</v>
      </c>
      <c r="N851" t="s">
        <v>59</v>
      </c>
      <c r="O851">
        <v>3</v>
      </c>
      <c r="P851">
        <v>679.63</v>
      </c>
      <c r="Q851" s="6">
        <v>0.2</v>
      </c>
      <c r="R851">
        <v>1631.11</v>
      </c>
      <c r="S851">
        <v>898.73</v>
      </c>
      <c r="T851">
        <v>396.58</v>
      </c>
      <c r="U851" t="s">
        <v>32</v>
      </c>
      <c r="V851" t="s">
        <v>33</v>
      </c>
      <c r="W851" s="8">
        <f t="shared" si="105"/>
        <v>0.2</v>
      </c>
      <c r="X851">
        <f t="shared" si="106"/>
        <v>1631.1120000000001</v>
      </c>
      <c r="Y851">
        <f t="shared" si="107"/>
        <v>732.38200000000006</v>
      </c>
      <c r="Z851" s="8">
        <f t="shared" si="108"/>
        <v>0.44900779345624336</v>
      </c>
      <c r="AA851" t="str">
        <f t="shared" si="109"/>
        <v>March</v>
      </c>
      <c r="AB851">
        <f t="shared" si="110"/>
        <v>2024</v>
      </c>
      <c r="AC851" t="str">
        <f t="shared" si="111"/>
        <v>Clean</v>
      </c>
    </row>
    <row r="852" spans="1:29">
      <c r="A852" t="s">
        <v>2619</v>
      </c>
      <c r="B852" s="2">
        <v>45473</v>
      </c>
      <c r="C852" s="2">
        <v>45476</v>
      </c>
      <c r="D852" s="3">
        <f t="shared" si="104"/>
        <v>3</v>
      </c>
      <c r="E852" t="s">
        <v>2620</v>
      </c>
      <c r="F852" t="s">
        <v>114</v>
      </c>
      <c r="G852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2621</v>
      </c>
      <c r="N852" t="s">
        <v>50</v>
      </c>
      <c r="O852">
        <v>6</v>
      </c>
      <c r="P852">
        <v>1211.01</v>
      </c>
      <c r="Q852" s="7">
        <v>0</v>
      </c>
      <c r="R852">
        <v>7266.06</v>
      </c>
      <c r="S852">
        <v>6216.89</v>
      </c>
      <c r="T852">
        <v>1049.17</v>
      </c>
      <c r="U852" t="s">
        <v>32</v>
      </c>
      <c r="V852" t="s">
        <v>33</v>
      </c>
      <c r="W852" s="8">
        <f t="shared" si="105"/>
        <v>0</v>
      </c>
      <c r="X852">
        <f t="shared" si="106"/>
        <v>7266.0599999999995</v>
      </c>
      <c r="Y852">
        <f t="shared" si="107"/>
        <v>1049.1699999999992</v>
      </c>
      <c r="Z852" s="8">
        <f t="shared" si="108"/>
        <v>0.14439324750965438</v>
      </c>
      <c r="AA852" t="str">
        <f t="shared" si="109"/>
        <v>June</v>
      </c>
      <c r="AB852">
        <f t="shared" si="110"/>
        <v>2024</v>
      </c>
      <c r="AC852" t="str">
        <f t="shared" si="111"/>
        <v>Clean</v>
      </c>
    </row>
    <row r="853" spans="1:29">
      <c r="A853" t="s">
        <v>2622</v>
      </c>
      <c r="B853" s="2">
        <v>45377</v>
      </c>
      <c r="C853" s="2">
        <v>45383</v>
      </c>
      <c r="D853" s="3">
        <f t="shared" si="104"/>
        <v>6</v>
      </c>
      <c r="E853" t="s">
        <v>2623</v>
      </c>
      <c r="F853" t="s">
        <v>23</v>
      </c>
      <c r="G853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2624</v>
      </c>
      <c r="N853" t="s">
        <v>50</v>
      </c>
      <c r="O853">
        <v>2</v>
      </c>
      <c r="P853">
        <v>1161.3</v>
      </c>
      <c r="Q853" s="6">
        <v>0.2</v>
      </c>
      <c r="R853">
        <v>1858.08</v>
      </c>
      <c r="S853">
        <v>1590.75</v>
      </c>
      <c r="T853">
        <v>267.33</v>
      </c>
      <c r="U853" t="s">
        <v>32</v>
      </c>
      <c r="V853" t="s">
        <v>33</v>
      </c>
      <c r="W853" s="8">
        <f t="shared" si="105"/>
        <v>0.2</v>
      </c>
      <c r="X853">
        <f t="shared" si="106"/>
        <v>1858.08</v>
      </c>
      <c r="Y853">
        <f t="shared" si="107"/>
        <v>267.32999999999993</v>
      </c>
      <c r="Z853" s="8">
        <f t="shared" si="108"/>
        <v>0.14387432188065097</v>
      </c>
      <c r="AA853" t="str">
        <f t="shared" si="109"/>
        <v>March</v>
      </c>
      <c r="AB853">
        <f t="shared" si="110"/>
        <v>2024</v>
      </c>
      <c r="AC853" t="str">
        <f t="shared" si="111"/>
        <v>Clean</v>
      </c>
    </row>
    <row r="854" spans="1:29">
      <c r="A854" t="s">
        <v>2625</v>
      </c>
      <c r="B854" s="2">
        <v>45295</v>
      </c>
      <c r="C854" s="2">
        <v>45508</v>
      </c>
      <c r="D854" s="3">
        <f t="shared" si="104"/>
        <v>213</v>
      </c>
      <c r="E854" t="s">
        <v>2626</v>
      </c>
      <c r="F854" t="s">
        <v>62</v>
      </c>
      <c r="G854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2627</v>
      </c>
      <c r="N854" t="s">
        <v>31</v>
      </c>
      <c r="O854">
        <v>7</v>
      </c>
      <c r="P854">
        <v>4205.3500000000004</v>
      </c>
      <c r="Q854" s="6">
        <v>0.15</v>
      </c>
      <c r="R854">
        <v>25021.83</v>
      </c>
      <c r="S854">
        <v>15544.44</v>
      </c>
      <c r="T854">
        <v>9477.39</v>
      </c>
      <c r="U854" t="s">
        <v>111</v>
      </c>
      <c r="V854" t="s">
        <v>68</v>
      </c>
      <c r="W854" s="8">
        <f t="shared" si="105"/>
        <v>0.15</v>
      </c>
      <c r="X854">
        <f t="shared" si="106"/>
        <v>25021.832500000004</v>
      </c>
      <c r="Y854">
        <f t="shared" si="107"/>
        <v>9477.3925000000036</v>
      </c>
      <c r="Z854" s="8">
        <f t="shared" si="108"/>
        <v>0.37876492459135447</v>
      </c>
      <c r="AA854" t="str">
        <f t="shared" si="109"/>
        <v>January</v>
      </c>
      <c r="AB854">
        <f t="shared" si="110"/>
        <v>2024</v>
      </c>
      <c r="AC854" t="str">
        <f t="shared" si="111"/>
        <v>Clean</v>
      </c>
    </row>
    <row r="855" spans="1:29">
      <c r="A855" t="s">
        <v>2628</v>
      </c>
      <c r="B855" s="2">
        <v>45793</v>
      </c>
      <c r="C855" s="2">
        <v>45799</v>
      </c>
      <c r="D855" s="3">
        <f t="shared" si="104"/>
        <v>6</v>
      </c>
      <c r="E855" t="s">
        <v>2629</v>
      </c>
      <c r="F855" t="s">
        <v>53</v>
      </c>
      <c r="G855" t="s">
        <v>90</v>
      </c>
      <c r="H855" t="s">
        <v>54</v>
      </c>
      <c r="I855" t="s">
        <v>247</v>
      </c>
      <c r="J855" t="s">
        <v>248</v>
      </c>
      <c r="K855" t="s">
        <v>74</v>
      </c>
      <c r="L855" t="s">
        <v>75</v>
      </c>
      <c r="M855" t="s">
        <v>2630</v>
      </c>
      <c r="N855" t="s">
        <v>44</v>
      </c>
      <c r="O855">
        <v>8</v>
      </c>
      <c r="P855">
        <v>579.79999999999995</v>
      </c>
      <c r="Q855" s="6">
        <v>0.2</v>
      </c>
      <c r="R855">
        <v>3710.72</v>
      </c>
      <c r="S855">
        <v>3115.29</v>
      </c>
      <c r="T855">
        <v>595.42999999999995</v>
      </c>
      <c r="U855" t="s">
        <v>32</v>
      </c>
      <c r="V855" t="s">
        <v>33</v>
      </c>
      <c r="W855" s="8">
        <f t="shared" si="105"/>
        <v>0.2</v>
      </c>
      <c r="X855">
        <f t="shared" si="106"/>
        <v>3710.72</v>
      </c>
      <c r="Y855">
        <f t="shared" si="107"/>
        <v>595.42999999999984</v>
      </c>
      <c r="Z855" s="8">
        <f t="shared" si="108"/>
        <v>0.16046212055881334</v>
      </c>
      <c r="AA855" t="str">
        <f t="shared" si="109"/>
        <v>May</v>
      </c>
      <c r="AB855">
        <f t="shared" si="110"/>
        <v>2025</v>
      </c>
      <c r="AC855" t="str">
        <f t="shared" si="111"/>
        <v>Clean</v>
      </c>
    </row>
    <row r="856" spans="1:29">
      <c r="A856" t="s">
        <v>2631</v>
      </c>
      <c r="B856" s="2">
        <v>45741</v>
      </c>
      <c r="C856" s="2">
        <v>45749</v>
      </c>
      <c r="D856" s="3">
        <f t="shared" si="104"/>
        <v>8</v>
      </c>
      <c r="E856" t="s">
        <v>2632</v>
      </c>
      <c r="F856" t="s">
        <v>114</v>
      </c>
      <c r="G856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2633</v>
      </c>
      <c r="N856" t="s">
        <v>31</v>
      </c>
      <c r="O856">
        <v>4</v>
      </c>
      <c r="P856">
        <v>2233.64</v>
      </c>
      <c r="Q856" s="6">
        <v>0.05</v>
      </c>
      <c r="R856">
        <v>8487.83</v>
      </c>
      <c r="S856">
        <v>5245.72</v>
      </c>
      <c r="T856">
        <v>3242.11</v>
      </c>
      <c r="U856" t="s">
        <v>32</v>
      </c>
      <c r="V856" t="s">
        <v>33</v>
      </c>
      <c r="W856" s="8">
        <f t="shared" si="105"/>
        <v>0.05</v>
      </c>
      <c r="X856">
        <f t="shared" si="106"/>
        <v>8487.8319999999985</v>
      </c>
      <c r="Y856">
        <f t="shared" si="107"/>
        <v>3242.1119999999983</v>
      </c>
      <c r="Z856" s="8">
        <f t="shared" si="108"/>
        <v>0.38197174496384928</v>
      </c>
      <c r="AA856" t="str">
        <f t="shared" si="109"/>
        <v>March</v>
      </c>
      <c r="AB856">
        <f t="shared" si="110"/>
        <v>2025</v>
      </c>
      <c r="AC856" t="str">
        <f t="shared" si="111"/>
        <v>Clean</v>
      </c>
    </row>
    <row r="857" spans="1:29">
      <c r="A857" t="s">
        <v>2634</v>
      </c>
      <c r="B857" s="2">
        <v>45498</v>
      </c>
      <c r="C857" s="2">
        <v>45506</v>
      </c>
      <c r="D857" s="3">
        <f t="shared" si="104"/>
        <v>8</v>
      </c>
      <c r="E857" t="s">
        <v>1120</v>
      </c>
      <c r="F857" t="s">
        <v>118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91</v>
      </c>
      <c r="M857" t="s">
        <v>2635</v>
      </c>
      <c r="N857" t="s">
        <v>31</v>
      </c>
      <c r="O857">
        <v>2</v>
      </c>
      <c r="P857">
        <v>2073.5300000000002</v>
      </c>
      <c r="Q857" s="6">
        <v>0.25</v>
      </c>
      <c r="R857">
        <v>3110.3</v>
      </c>
      <c r="S857">
        <v>2101.0300000000002</v>
      </c>
      <c r="T857">
        <v>1009.27</v>
      </c>
      <c r="U857" t="s">
        <v>32</v>
      </c>
      <c r="V857" t="s">
        <v>33</v>
      </c>
      <c r="W857" s="8">
        <f t="shared" si="105"/>
        <v>0.25</v>
      </c>
      <c r="X857">
        <f t="shared" si="106"/>
        <v>3110.2950000000001</v>
      </c>
      <c r="Y857">
        <f t="shared" si="107"/>
        <v>1009.2649999999999</v>
      </c>
      <c r="Z857" s="8">
        <f t="shared" si="108"/>
        <v>0.32449172827657824</v>
      </c>
      <c r="AA857" t="str">
        <f t="shared" si="109"/>
        <v>July</v>
      </c>
      <c r="AB857">
        <f t="shared" si="110"/>
        <v>2024</v>
      </c>
      <c r="AC857" t="str">
        <f t="shared" si="111"/>
        <v>Clean</v>
      </c>
    </row>
    <row r="858" spans="1:29">
      <c r="A858" t="s">
        <v>2636</v>
      </c>
      <c r="B858" s="2">
        <v>45455</v>
      </c>
      <c r="C858" s="2">
        <v>45462</v>
      </c>
      <c r="D858" s="3">
        <f t="shared" si="104"/>
        <v>7</v>
      </c>
      <c r="E858" t="s">
        <v>1298</v>
      </c>
      <c r="F858" t="s">
        <v>141</v>
      </c>
      <c r="G858" t="s">
        <v>95</v>
      </c>
      <c r="H858" t="s">
        <v>54</v>
      </c>
      <c r="I858" t="s">
        <v>247</v>
      </c>
      <c r="J858" t="s">
        <v>248</v>
      </c>
      <c r="K858" t="s">
        <v>28</v>
      </c>
      <c r="L858" t="s">
        <v>124</v>
      </c>
      <c r="M858" t="s">
        <v>2637</v>
      </c>
      <c r="N858" t="s">
        <v>59</v>
      </c>
      <c r="O858">
        <v>4</v>
      </c>
      <c r="P858">
        <v>395.1</v>
      </c>
      <c r="Q858" s="7">
        <v>-0.16</v>
      </c>
      <c r="R858">
        <v>1185.3</v>
      </c>
      <c r="S858">
        <v>966.55</v>
      </c>
      <c r="T858">
        <v>218.75</v>
      </c>
      <c r="U858" t="s">
        <v>155</v>
      </c>
      <c r="V858" t="s">
        <v>68</v>
      </c>
      <c r="W858" s="8">
        <f t="shared" si="105"/>
        <v>-0.16</v>
      </c>
      <c r="X858">
        <f t="shared" si="106"/>
        <v>1833.2639999999999</v>
      </c>
      <c r="Y858">
        <f t="shared" si="107"/>
        <v>866.71399999999994</v>
      </c>
      <c r="Z858" s="8">
        <f t="shared" si="108"/>
        <v>0.47277097024760206</v>
      </c>
      <c r="AA858" t="str">
        <f t="shared" si="109"/>
        <v>June</v>
      </c>
      <c r="AB858">
        <f t="shared" si="110"/>
        <v>2024</v>
      </c>
      <c r="AC858" t="str">
        <f t="shared" si="111"/>
        <v>Invalid</v>
      </c>
    </row>
    <row r="859" spans="1:29">
      <c r="A859" t="s">
        <v>2638</v>
      </c>
      <c r="B859" s="2">
        <v>45447</v>
      </c>
      <c r="C859" s="2">
        <v>45388</v>
      </c>
      <c r="D859" s="5">
        <f t="shared" si="104"/>
        <v>-59</v>
      </c>
      <c r="E859" t="s">
        <v>2145</v>
      </c>
      <c r="F859" t="s">
        <v>132</v>
      </c>
      <c r="G859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2639</v>
      </c>
      <c r="N859" t="s">
        <v>50</v>
      </c>
      <c r="O859">
        <v>6</v>
      </c>
      <c r="P859">
        <v>2708.97</v>
      </c>
      <c r="Q859" s="6">
        <v>0.25</v>
      </c>
      <c r="R859">
        <v>12190.36</v>
      </c>
      <c r="S859">
        <v>10176.99</v>
      </c>
      <c r="T859">
        <v>2013.37</v>
      </c>
      <c r="U859" t="s">
        <v>32</v>
      </c>
      <c r="V859" t="s">
        <v>33</v>
      </c>
      <c r="W859" s="8">
        <f t="shared" si="105"/>
        <v>0.25</v>
      </c>
      <c r="X859">
        <f t="shared" si="106"/>
        <v>12190.365</v>
      </c>
      <c r="Y859">
        <f t="shared" si="107"/>
        <v>2013.375</v>
      </c>
      <c r="Z859" s="8">
        <f t="shared" si="108"/>
        <v>0.16516117441930575</v>
      </c>
      <c r="AA859" t="str">
        <f t="shared" si="109"/>
        <v>June</v>
      </c>
      <c r="AB859">
        <f t="shared" si="110"/>
        <v>2024</v>
      </c>
      <c r="AC859" t="str">
        <f t="shared" si="111"/>
        <v>Warning</v>
      </c>
    </row>
    <row r="860" spans="1:29">
      <c r="A860" t="s">
        <v>2640</v>
      </c>
      <c r="B860" s="2">
        <v>45414</v>
      </c>
      <c r="C860" s="2">
        <v>45421</v>
      </c>
      <c r="D860" s="3">
        <f t="shared" si="104"/>
        <v>7</v>
      </c>
      <c r="E860" t="s">
        <v>2641</v>
      </c>
      <c r="F860" t="s">
        <v>53</v>
      </c>
      <c r="G860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2642</v>
      </c>
      <c r="N860" t="s">
        <v>31</v>
      </c>
      <c r="O860">
        <v>4</v>
      </c>
      <c r="P860">
        <v>2904.86</v>
      </c>
      <c r="Q860" s="7">
        <v>0</v>
      </c>
      <c r="R860">
        <v>11619.44</v>
      </c>
      <c r="S860">
        <v>7184.32</v>
      </c>
      <c r="T860">
        <v>4494.6400000000003</v>
      </c>
      <c r="U860" t="s">
        <v>32</v>
      </c>
      <c r="V860" t="s">
        <v>33</v>
      </c>
      <c r="W860" s="8">
        <f t="shared" si="105"/>
        <v>0</v>
      </c>
      <c r="X860">
        <f t="shared" si="106"/>
        <v>11619.44</v>
      </c>
      <c r="Y860">
        <f t="shared" si="107"/>
        <v>4435.1200000000008</v>
      </c>
      <c r="Z860" s="8">
        <f t="shared" si="108"/>
        <v>0.3816982574031107</v>
      </c>
      <c r="AA860" t="str">
        <f t="shared" si="109"/>
        <v>May</v>
      </c>
      <c r="AB860">
        <f t="shared" si="110"/>
        <v>2024</v>
      </c>
      <c r="AC860" t="str">
        <f t="shared" si="111"/>
        <v>Clean</v>
      </c>
    </row>
    <row r="861" spans="1:29">
      <c r="A861" t="s">
        <v>2643</v>
      </c>
      <c r="B861" s="2">
        <v>45592</v>
      </c>
      <c r="C861" s="2">
        <v>45597</v>
      </c>
      <c r="D861" s="3">
        <f t="shared" si="104"/>
        <v>5</v>
      </c>
      <c r="E861" t="s">
        <v>2644</v>
      </c>
      <c r="F861" t="s">
        <v>89</v>
      </c>
      <c r="G861" t="s">
        <v>90</v>
      </c>
      <c r="H861" t="s">
        <v>54</v>
      </c>
      <c r="I861" t="s">
        <v>247</v>
      </c>
      <c r="J861" t="s">
        <v>248</v>
      </c>
      <c r="K861" t="s">
        <v>74</v>
      </c>
      <c r="L861" t="s">
        <v>171</v>
      </c>
      <c r="M861" t="s">
        <v>2645</v>
      </c>
      <c r="N861" t="s">
        <v>59</v>
      </c>
      <c r="O861">
        <v>6</v>
      </c>
      <c r="P861">
        <v>4399.2</v>
      </c>
      <c r="Q861" s="6">
        <v>0.05</v>
      </c>
      <c r="R861">
        <v>25075.439999999999</v>
      </c>
      <c r="S861">
        <v>16282.74</v>
      </c>
      <c r="T861">
        <v>8792.7000000000007</v>
      </c>
      <c r="U861" t="s">
        <v>32</v>
      </c>
      <c r="V861" t="s">
        <v>33</v>
      </c>
      <c r="W861" s="8">
        <f t="shared" si="105"/>
        <v>0.05</v>
      </c>
      <c r="X861">
        <f t="shared" si="106"/>
        <v>25075.439999999995</v>
      </c>
      <c r="Y861">
        <f t="shared" si="107"/>
        <v>8792.6999999999953</v>
      </c>
      <c r="Z861" s="8">
        <f t="shared" si="108"/>
        <v>0.35064987892535471</v>
      </c>
      <c r="AA861" t="str">
        <f t="shared" si="109"/>
        <v>October</v>
      </c>
      <c r="AB861">
        <f t="shared" si="110"/>
        <v>2024</v>
      </c>
      <c r="AC861" t="str">
        <f t="shared" si="111"/>
        <v>Clean</v>
      </c>
    </row>
    <row r="862" spans="1:29">
      <c r="A862" t="s">
        <v>2646</v>
      </c>
      <c r="B862" s="2">
        <v>45324</v>
      </c>
      <c r="C862" s="2">
        <v>45326</v>
      </c>
      <c r="D862" s="3">
        <f t="shared" si="104"/>
        <v>2</v>
      </c>
      <c r="E862" t="s">
        <v>2647</v>
      </c>
      <c r="F862" t="s">
        <v>71</v>
      </c>
      <c r="G862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2648</v>
      </c>
      <c r="N862" t="s">
        <v>31</v>
      </c>
      <c r="O862">
        <v>1</v>
      </c>
      <c r="P862">
        <v>4397.32</v>
      </c>
      <c r="Q862" s="6">
        <v>0.05</v>
      </c>
      <c r="R862">
        <v>4177.45</v>
      </c>
      <c r="S862">
        <v>2299.5</v>
      </c>
      <c r="T862">
        <v>1877.95</v>
      </c>
      <c r="U862" t="s">
        <v>32</v>
      </c>
      <c r="V862" t="s">
        <v>33</v>
      </c>
      <c r="W862" s="8">
        <f t="shared" si="105"/>
        <v>0.05</v>
      </c>
      <c r="X862">
        <f t="shared" si="106"/>
        <v>4177.4539999999997</v>
      </c>
      <c r="Y862">
        <f t="shared" si="107"/>
        <v>1877.9539999999997</v>
      </c>
      <c r="Z862" s="8">
        <f t="shared" si="108"/>
        <v>0.44954510570313877</v>
      </c>
      <c r="AA862" t="str">
        <f t="shared" si="109"/>
        <v>February</v>
      </c>
      <c r="AB862">
        <f t="shared" si="110"/>
        <v>2024</v>
      </c>
      <c r="AC862" t="str">
        <f t="shared" si="111"/>
        <v>Clean</v>
      </c>
    </row>
    <row r="863" spans="1:29">
      <c r="A863" t="s">
        <v>2649</v>
      </c>
      <c r="B863" s="2">
        <v>45724</v>
      </c>
      <c r="C863" s="2">
        <v>45725</v>
      </c>
      <c r="D863" s="3">
        <f t="shared" si="104"/>
        <v>1</v>
      </c>
      <c r="E863" t="s">
        <v>2650</v>
      </c>
      <c r="F863" t="s">
        <v>114</v>
      </c>
      <c r="G863" t="s">
        <v>95</v>
      </c>
      <c r="H863" t="s">
        <v>25</v>
      </c>
      <c r="I863" t="s">
        <v>350</v>
      </c>
      <c r="J863" t="s">
        <v>351</v>
      </c>
      <c r="K863" t="s">
        <v>41</v>
      </c>
      <c r="L863" t="s">
        <v>57</v>
      </c>
      <c r="M863" t="s">
        <v>2651</v>
      </c>
      <c r="N863" t="s">
        <v>44</v>
      </c>
      <c r="O863">
        <v>4</v>
      </c>
      <c r="P863">
        <v>3405.68</v>
      </c>
      <c r="Q863" s="6">
        <v>0.2</v>
      </c>
      <c r="R863">
        <v>10898.18</v>
      </c>
      <c r="S863">
        <v>6231.41</v>
      </c>
      <c r="T863">
        <v>4666.7700000000004</v>
      </c>
      <c r="U863" t="s">
        <v>32</v>
      </c>
      <c r="V863" t="s">
        <v>33</v>
      </c>
      <c r="W863" s="8">
        <f t="shared" si="105"/>
        <v>0.2</v>
      </c>
      <c r="X863">
        <f t="shared" si="106"/>
        <v>10898.175999999999</v>
      </c>
      <c r="Y863">
        <f t="shared" si="107"/>
        <v>4666.7659999999996</v>
      </c>
      <c r="Z863" s="8">
        <f t="shared" si="108"/>
        <v>0.42821532704188298</v>
      </c>
      <c r="AA863" t="str">
        <f t="shared" si="109"/>
        <v>March</v>
      </c>
      <c r="AB863">
        <f t="shared" si="110"/>
        <v>2025</v>
      </c>
      <c r="AC863" t="str">
        <f t="shared" si="111"/>
        <v>Clean</v>
      </c>
    </row>
    <row r="864" spans="1:29">
      <c r="A864" t="s">
        <v>2652</v>
      </c>
      <c r="B864" s="2">
        <v>45742</v>
      </c>
      <c r="C864" s="2">
        <v>45747</v>
      </c>
      <c r="D864" s="3">
        <f t="shared" si="104"/>
        <v>5</v>
      </c>
      <c r="E864" t="s">
        <v>2653</v>
      </c>
      <c r="F864" t="s">
        <v>114</v>
      </c>
      <c r="G864" t="s">
        <v>37</v>
      </c>
      <c r="H864" t="s">
        <v>38</v>
      </c>
      <c r="I864" t="s">
        <v>228</v>
      </c>
      <c r="J864" t="s">
        <v>229</v>
      </c>
      <c r="K864" t="s">
        <v>28</v>
      </c>
      <c r="L864" t="s">
        <v>153</v>
      </c>
      <c r="M864" t="s">
        <v>2654</v>
      </c>
      <c r="N864" t="s">
        <v>50</v>
      </c>
      <c r="O864">
        <v>5</v>
      </c>
      <c r="P864">
        <v>1395.14</v>
      </c>
      <c r="Q864" s="7">
        <v>0</v>
      </c>
      <c r="R864">
        <v>6975.7</v>
      </c>
      <c r="S864">
        <v>4797.88</v>
      </c>
      <c r="T864">
        <v>2177.8200000000002</v>
      </c>
      <c r="U864" t="s">
        <v>32</v>
      </c>
      <c r="V864" t="s">
        <v>68</v>
      </c>
      <c r="W864" s="8">
        <f t="shared" si="105"/>
        <v>0</v>
      </c>
      <c r="X864">
        <f t="shared" si="106"/>
        <v>6975.7000000000007</v>
      </c>
      <c r="Y864">
        <f t="shared" si="107"/>
        <v>2177.8200000000006</v>
      </c>
      <c r="Z864" s="8">
        <f t="shared" si="108"/>
        <v>0.3122009260719355</v>
      </c>
      <c r="AA864" t="str">
        <f t="shared" si="109"/>
        <v>March</v>
      </c>
      <c r="AB864">
        <f t="shared" si="110"/>
        <v>2025</v>
      </c>
      <c r="AC864" t="str">
        <f t="shared" si="111"/>
        <v>Clean</v>
      </c>
    </row>
    <row r="865" spans="1:29">
      <c r="A865" t="s">
        <v>2655</v>
      </c>
      <c r="B865" s="2">
        <v>45906</v>
      </c>
      <c r="C865" s="2">
        <v>45908</v>
      </c>
      <c r="D865" s="3">
        <f t="shared" si="104"/>
        <v>2</v>
      </c>
      <c r="E865" t="s">
        <v>2656</v>
      </c>
      <c r="F865" t="s">
        <v>128</v>
      </c>
      <c r="G86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2657</v>
      </c>
      <c r="N865" t="s">
        <v>44</v>
      </c>
      <c r="O865">
        <v>3</v>
      </c>
      <c r="P865">
        <v>2937.23</v>
      </c>
      <c r="Q865" s="7">
        <v>0</v>
      </c>
      <c r="R865">
        <v>8811.69</v>
      </c>
      <c r="S865">
        <v>6765.91</v>
      </c>
      <c r="T865">
        <v>2045.78</v>
      </c>
      <c r="U865" t="s">
        <v>32</v>
      </c>
      <c r="V865" t="s">
        <v>33</v>
      </c>
      <c r="W865" s="8">
        <f t="shared" si="105"/>
        <v>0</v>
      </c>
      <c r="X865">
        <f t="shared" si="106"/>
        <v>8811.69</v>
      </c>
      <c r="Y865">
        <f t="shared" si="107"/>
        <v>2045.7800000000007</v>
      </c>
      <c r="Z865" s="8">
        <f t="shared" si="108"/>
        <v>0.23216658779416893</v>
      </c>
      <c r="AA865" t="str">
        <f t="shared" si="109"/>
        <v>September</v>
      </c>
      <c r="AB865">
        <f t="shared" si="110"/>
        <v>2025</v>
      </c>
      <c r="AC865" t="str">
        <f t="shared" si="111"/>
        <v>Clean</v>
      </c>
    </row>
    <row r="866" spans="1:29">
      <c r="A866" t="s">
        <v>2658</v>
      </c>
      <c r="B866" s="2">
        <v>45902</v>
      </c>
      <c r="C866" s="2">
        <v>45786</v>
      </c>
      <c r="D866" s="5">
        <f t="shared" si="104"/>
        <v>-116</v>
      </c>
      <c r="E866" t="s">
        <v>2659</v>
      </c>
      <c r="F866" t="s">
        <v>71</v>
      </c>
      <c r="G866" t="s">
        <v>24</v>
      </c>
      <c r="H866" t="s">
        <v>54</v>
      </c>
      <c r="I866" t="s">
        <v>247</v>
      </c>
      <c r="J866" t="s">
        <v>248</v>
      </c>
      <c r="K866" t="s">
        <v>74</v>
      </c>
      <c r="L866" t="s">
        <v>171</v>
      </c>
      <c r="M866" t="s">
        <v>2660</v>
      </c>
      <c r="N866" t="s">
        <v>50</v>
      </c>
      <c r="O866">
        <v>5</v>
      </c>
      <c r="P866">
        <v>3406.87</v>
      </c>
      <c r="Q866" s="7">
        <v>0</v>
      </c>
      <c r="R866">
        <v>17034.349999999999</v>
      </c>
      <c r="S866">
        <v>14631.36</v>
      </c>
      <c r="T866">
        <v>2402.9899999999998</v>
      </c>
      <c r="U866" t="s">
        <v>32</v>
      </c>
      <c r="V866" t="s">
        <v>33</v>
      </c>
      <c r="W866" s="8">
        <f t="shared" si="105"/>
        <v>0</v>
      </c>
      <c r="X866">
        <f t="shared" si="106"/>
        <v>17034.349999999999</v>
      </c>
      <c r="Y866">
        <f t="shared" si="107"/>
        <v>2402.989999999998</v>
      </c>
      <c r="Z866" s="8">
        <f t="shared" si="108"/>
        <v>0.14106731398615141</v>
      </c>
      <c r="AA866" t="str">
        <f t="shared" si="109"/>
        <v>September</v>
      </c>
      <c r="AB866">
        <f t="shared" si="110"/>
        <v>2025</v>
      </c>
      <c r="AC866" t="str">
        <f t="shared" si="111"/>
        <v>Warning</v>
      </c>
    </row>
    <row r="867" spans="1:29">
      <c r="A867" t="s">
        <v>2661</v>
      </c>
      <c r="B867" s="2">
        <v>45810</v>
      </c>
      <c r="C867" s="2">
        <v>45702</v>
      </c>
      <c r="D867" s="5">
        <f t="shared" si="104"/>
        <v>-108</v>
      </c>
      <c r="E867" t="s">
        <v>2662</v>
      </c>
      <c r="F867" t="s">
        <v>264</v>
      </c>
      <c r="G867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2663</v>
      </c>
      <c r="N867" t="s">
        <v>31</v>
      </c>
      <c r="O867">
        <v>2</v>
      </c>
      <c r="P867">
        <v>3992.04</v>
      </c>
      <c r="Q867" s="7">
        <v>0</v>
      </c>
      <c r="R867">
        <v>7984.08</v>
      </c>
      <c r="S867">
        <v>5658.05</v>
      </c>
      <c r="T867">
        <v>2326.0300000000002</v>
      </c>
      <c r="U867" t="s">
        <v>32</v>
      </c>
      <c r="V867" t="s">
        <v>33</v>
      </c>
      <c r="W867" s="8">
        <f t="shared" si="105"/>
        <v>0</v>
      </c>
      <c r="X867">
        <f t="shared" si="106"/>
        <v>7984.08</v>
      </c>
      <c r="Y867">
        <f t="shared" si="107"/>
        <v>2326.0299999999997</v>
      </c>
      <c r="Z867" s="8">
        <f t="shared" si="108"/>
        <v>0.29133350367230787</v>
      </c>
      <c r="AA867" t="str">
        <f t="shared" si="109"/>
        <v>June</v>
      </c>
      <c r="AB867">
        <f t="shared" si="110"/>
        <v>2025</v>
      </c>
      <c r="AC867" t="str">
        <f t="shared" si="111"/>
        <v>Warning</v>
      </c>
    </row>
    <row r="868" spans="1:29">
      <c r="A868" t="s">
        <v>2664</v>
      </c>
      <c r="B868" s="2">
        <v>45714</v>
      </c>
      <c r="C868" s="2">
        <v>45722</v>
      </c>
      <c r="D868" s="3">
        <f t="shared" si="104"/>
        <v>8</v>
      </c>
      <c r="E868" t="s">
        <v>2665</v>
      </c>
      <c r="F868" t="s">
        <v>114</v>
      </c>
      <c r="G868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2666</v>
      </c>
      <c r="N868" t="s">
        <v>50</v>
      </c>
      <c r="O868">
        <v>9</v>
      </c>
      <c r="P868">
        <v>3043.37</v>
      </c>
      <c r="Q868" s="6">
        <v>0.2</v>
      </c>
      <c r="R868">
        <v>21912.26</v>
      </c>
      <c r="S868">
        <v>16367.78</v>
      </c>
      <c r="T868">
        <v>5544.48</v>
      </c>
      <c r="U868" t="s">
        <v>111</v>
      </c>
      <c r="V868" t="s">
        <v>68</v>
      </c>
      <c r="W868" s="8">
        <f t="shared" si="105"/>
        <v>0.2</v>
      </c>
      <c r="X868">
        <f t="shared" si="106"/>
        <v>21912.263999999999</v>
      </c>
      <c r="Y868">
        <f t="shared" si="107"/>
        <v>5544.4839999999986</v>
      </c>
      <c r="Z868" s="8">
        <f t="shared" si="108"/>
        <v>0.25303108797885965</v>
      </c>
      <c r="AA868" t="str">
        <f t="shared" si="109"/>
        <v>February</v>
      </c>
      <c r="AB868">
        <f t="shared" si="110"/>
        <v>2025</v>
      </c>
      <c r="AC868" t="str">
        <f t="shared" si="111"/>
        <v>Clean</v>
      </c>
    </row>
    <row r="869" spans="1:29">
      <c r="A869" t="s">
        <v>2667</v>
      </c>
      <c r="B869" s="2">
        <v>45617</v>
      </c>
      <c r="C869" s="2">
        <v>45618</v>
      </c>
      <c r="D869" s="3">
        <f t="shared" si="104"/>
        <v>1</v>
      </c>
      <c r="E869" t="s">
        <v>2668</v>
      </c>
      <c r="F869" t="s">
        <v>118</v>
      </c>
      <c r="G869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2669</v>
      </c>
      <c r="N869" t="s">
        <v>44</v>
      </c>
      <c r="O869">
        <v>6</v>
      </c>
      <c r="P869">
        <v>1043.49</v>
      </c>
      <c r="Q869" s="6">
        <v>0.25</v>
      </c>
      <c r="R869">
        <v>4695.7</v>
      </c>
      <c r="S869">
        <v>3871.69</v>
      </c>
      <c r="T869">
        <v>824.01</v>
      </c>
      <c r="U869" t="s">
        <v>155</v>
      </c>
      <c r="V869" t="s">
        <v>68</v>
      </c>
      <c r="W869" s="8">
        <f t="shared" si="105"/>
        <v>0.25</v>
      </c>
      <c r="X869">
        <f t="shared" si="106"/>
        <v>4695.7049999999999</v>
      </c>
      <c r="Y869">
        <f t="shared" si="107"/>
        <v>824.01499999999987</v>
      </c>
      <c r="Z869" s="8">
        <f t="shared" si="108"/>
        <v>0.17548270174553127</v>
      </c>
      <c r="AA869" t="str">
        <f t="shared" si="109"/>
        <v>November</v>
      </c>
      <c r="AB869">
        <f t="shared" si="110"/>
        <v>2024</v>
      </c>
      <c r="AC869" t="str">
        <f t="shared" si="111"/>
        <v>Clean</v>
      </c>
    </row>
    <row r="870" spans="1:29">
      <c r="A870" t="s">
        <v>2670</v>
      </c>
      <c r="B870" s="2">
        <v>45965</v>
      </c>
      <c r="C870" s="2">
        <v>45762</v>
      </c>
      <c r="D870" s="5">
        <f t="shared" si="104"/>
        <v>-203</v>
      </c>
      <c r="E870" t="s">
        <v>2671</v>
      </c>
      <c r="F870" t="s">
        <v>71</v>
      </c>
      <c r="G870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2672</v>
      </c>
      <c r="N870" t="s">
        <v>44</v>
      </c>
      <c r="O870">
        <v>9</v>
      </c>
      <c r="P870">
        <v>224.94</v>
      </c>
      <c r="Q870" s="6">
        <v>0.05</v>
      </c>
      <c r="R870">
        <v>1923.24</v>
      </c>
      <c r="S870">
        <v>1093.6600000000001</v>
      </c>
      <c r="T870">
        <v>829.58</v>
      </c>
      <c r="U870" t="s">
        <v>32</v>
      </c>
      <c r="V870" t="s">
        <v>33</v>
      </c>
      <c r="W870" s="8">
        <f t="shared" si="105"/>
        <v>0.05</v>
      </c>
      <c r="X870">
        <f t="shared" si="106"/>
        <v>1923.2369999999999</v>
      </c>
      <c r="Y870">
        <f t="shared" si="107"/>
        <v>829.57699999999977</v>
      </c>
      <c r="Z870" s="8">
        <f t="shared" si="108"/>
        <v>0.43134413491420964</v>
      </c>
      <c r="AA870" t="str">
        <f t="shared" si="109"/>
        <v>November</v>
      </c>
      <c r="AB870">
        <f t="shared" si="110"/>
        <v>2025</v>
      </c>
      <c r="AC870" t="str">
        <f t="shared" si="111"/>
        <v>Warning</v>
      </c>
    </row>
    <row r="871" spans="1:29">
      <c r="A871" t="s">
        <v>2673</v>
      </c>
      <c r="B871" s="2">
        <v>45722</v>
      </c>
      <c r="C871" s="2">
        <v>45841</v>
      </c>
      <c r="D871" s="3">
        <f t="shared" si="104"/>
        <v>119</v>
      </c>
      <c r="E871" t="s">
        <v>2674</v>
      </c>
      <c r="F871" t="s">
        <v>141</v>
      </c>
      <c r="G871" t="s">
        <v>95</v>
      </c>
      <c r="H871" s="4" t="s">
        <v>2760</v>
      </c>
      <c r="I871" t="s">
        <v>350</v>
      </c>
      <c r="J871" t="s">
        <v>351</v>
      </c>
      <c r="K871" t="s">
        <v>41</v>
      </c>
      <c r="L871" t="s">
        <v>66</v>
      </c>
      <c r="M871" t="s">
        <v>1145</v>
      </c>
      <c r="N871" t="s">
        <v>44</v>
      </c>
      <c r="O871">
        <v>6</v>
      </c>
      <c r="P871">
        <v>796.65</v>
      </c>
      <c r="Q871" s="6">
        <v>0.1</v>
      </c>
      <c r="R871">
        <v>4301.91</v>
      </c>
      <c r="S871">
        <v>2374.4</v>
      </c>
      <c r="T871">
        <v>1927.51</v>
      </c>
      <c r="U871" t="s">
        <v>32</v>
      </c>
      <c r="V871" t="s">
        <v>33</v>
      </c>
      <c r="W871" s="8">
        <f t="shared" si="105"/>
        <v>0.1</v>
      </c>
      <c r="X871">
        <f t="shared" si="106"/>
        <v>4301.91</v>
      </c>
      <c r="Y871">
        <f t="shared" si="107"/>
        <v>1927.5099999999998</v>
      </c>
      <c r="Z871" s="8">
        <f t="shared" si="108"/>
        <v>0.44805911792668834</v>
      </c>
      <c r="AA871" t="str">
        <f t="shared" si="109"/>
        <v>March</v>
      </c>
      <c r="AB871">
        <f t="shared" si="110"/>
        <v>2025</v>
      </c>
      <c r="AC871" t="str">
        <f t="shared" si="111"/>
        <v>Clean</v>
      </c>
    </row>
    <row r="872" spans="1:29">
      <c r="A872" t="s">
        <v>2675</v>
      </c>
      <c r="B872" s="2">
        <v>45814</v>
      </c>
      <c r="C872" s="2">
        <v>45815</v>
      </c>
      <c r="D872" s="3">
        <f t="shared" si="104"/>
        <v>1</v>
      </c>
      <c r="E872" t="s">
        <v>2676</v>
      </c>
      <c r="F872" t="s">
        <v>71</v>
      </c>
      <c r="G872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2677</v>
      </c>
      <c r="N872" t="s">
        <v>59</v>
      </c>
      <c r="O872">
        <v>9</v>
      </c>
      <c r="P872">
        <v>2932.92</v>
      </c>
      <c r="Q872" s="6">
        <v>0.15</v>
      </c>
      <c r="R872">
        <v>22436.84</v>
      </c>
      <c r="S872">
        <v>17454.669999999998</v>
      </c>
      <c r="T872">
        <v>4982.17</v>
      </c>
      <c r="U872" t="s">
        <v>32</v>
      </c>
      <c r="V872" t="s">
        <v>68</v>
      </c>
      <c r="W872" s="8">
        <f t="shared" si="105"/>
        <v>0.15</v>
      </c>
      <c r="X872">
        <f t="shared" si="106"/>
        <v>22436.838</v>
      </c>
      <c r="Y872">
        <f t="shared" si="107"/>
        <v>4982.1680000000015</v>
      </c>
      <c r="Z872" s="8">
        <f t="shared" si="108"/>
        <v>0.22205303617203109</v>
      </c>
      <c r="AA872" t="str">
        <f t="shared" si="109"/>
        <v>June</v>
      </c>
      <c r="AB872">
        <f t="shared" si="110"/>
        <v>2025</v>
      </c>
      <c r="AC872" t="str">
        <f t="shared" si="111"/>
        <v>Clean</v>
      </c>
    </row>
    <row r="873" spans="1:29">
      <c r="A873" t="s">
        <v>2678</v>
      </c>
      <c r="B873" s="2">
        <v>45342</v>
      </c>
      <c r="C873" s="2">
        <v>45344</v>
      </c>
      <c r="D873" s="3">
        <f t="shared" si="104"/>
        <v>2</v>
      </c>
      <c r="E873" t="s">
        <v>2549</v>
      </c>
      <c r="F873" t="s">
        <v>79</v>
      </c>
      <c r="G873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2679</v>
      </c>
      <c r="N873" t="s">
        <v>50</v>
      </c>
      <c r="O873">
        <v>9</v>
      </c>
      <c r="P873">
        <v>2186.23</v>
      </c>
      <c r="Q873" s="7">
        <v>0</v>
      </c>
      <c r="R873">
        <v>19676.07</v>
      </c>
      <c r="S873">
        <v>12458.62</v>
      </c>
      <c r="T873">
        <v>7217.45</v>
      </c>
      <c r="U873" t="s">
        <v>102</v>
      </c>
      <c r="V873" t="s">
        <v>68</v>
      </c>
      <c r="W873" s="8">
        <f t="shared" si="105"/>
        <v>0</v>
      </c>
      <c r="X873">
        <f t="shared" si="106"/>
        <v>19676.07</v>
      </c>
      <c r="Y873">
        <f t="shared" si="107"/>
        <v>7217.4499999999989</v>
      </c>
      <c r="Z873" s="8">
        <f t="shared" si="108"/>
        <v>0.36681359641432454</v>
      </c>
      <c r="AA873" t="str">
        <f t="shared" si="109"/>
        <v>February</v>
      </c>
      <c r="AB873">
        <f t="shared" si="110"/>
        <v>2024</v>
      </c>
      <c r="AC873" t="str">
        <f t="shared" si="111"/>
        <v>Clean</v>
      </c>
    </row>
    <row r="874" spans="1:29">
      <c r="A874" t="s">
        <v>2680</v>
      </c>
      <c r="B874" s="2">
        <v>45597</v>
      </c>
      <c r="C874" s="2">
        <v>45598</v>
      </c>
      <c r="D874" s="3">
        <f t="shared" si="104"/>
        <v>1</v>
      </c>
      <c r="E874" t="s">
        <v>1958</v>
      </c>
      <c r="F874" t="s">
        <v>23</v>
      </c>
      <c r="G874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2681</v>
      </c>
      <c r="N874" t="s">
        <v>59</v>
      </c>
      <c r="O874">
        <v>5</v>
      </c>
      <c r="P874">
        <v>2212.02</v>
      </c>
      <c r="Q874" s="6">
        <v>0.2</v>
      </c>
      <c r="R874">
        <v>8848.08</v>
      </c>
      <c r="S874">
        <v>5691.56</v>
      </c>
      <c r="T874">
        <v>3156.52</v>
      </c>
      <c r="U874" t="s">
        <v>32</v>
      </c>
      <c r="V874" t="s">
        <v>33</v>
      </c>
      <c r="W874" s="8">
        <f t="shared" si="105"/>
        <v>0.2</v>
      </c>
      <c r="X874">
        <f t="shared" si="106"/>
        <v>8848.08</v>
      </c>
      <c r="Y874">
        <f t="shared" si="107"/>
        <v>3156.5199999999995</v>
      </c>
      <c r="Z874" s="8">
        <f t="shared" si="108"/>
        <v>0.35674632236598219</v>
      </c>
      <c r="AA874" t="str">
        <f t="shared" si="109"/>
        <v>November</v>
      </c>
      <c r="AB874">
        <f t="shared" si="110"/>
        <v>2024</v>
      </c>
      <c r="AC874" t="str">
        <f t="shared" si="111"/>
        <v>Clean</v>
      </c>
    </row>
    <row r="875" spans="1:29">
      <c r="A875" t="s">
        <v>2682</v>
      </c>
      <c r="B875" s="2">
        <v>45689</v>
      </c>
      <c r="C875" s="2">
        <v>45871</v>
      </c>
      <c r="D875" s="3">
        <f t="shared" si="104"/>
        <v>182</v>
      </c>
      <c r="E875" t="s">
        <v>2683</v>
      </c>
      <c r="F875" t="s">
        <v>89</v>
      </c>
      <c r="G87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2684</v>
      </c>
      <c r="N875" t="s">
        <v>31</v>
      </c>
      <c r="O875">
        <v>8</v>
      </c>
      <c r="P875">
        <v>623.30999999999995</v>
      </c>
      <c r="Q875" s="6">
        <v>0.1</v>
      </c>
      <c r="R875">
        <v>4487.83</v>
      </c>
      <c r="S875">
        <v>2633.78</v>
      </c>
      <c r="T875">
        <v>1854.05</v>
      </c>
      <c r="U875" t="s">
        <v>32</v>
      </c>
      <c r="V875" t="s">
        <v>33</v>
      </c>
      <c r="W875" s="8">
        <f t="shared" si="105"/>
        <v>0.1</v>
      </c>
      <c r="X875">
        <f t="shared" si="106"/>
        <v>4487.8319999999994</v>
      </c>
      <c r="Y875">
        <f t="shared" si="107"/>
        <v>1854.0519999999992</v>
      </c>
      <c r="Z875" s="8">
        <f t="shared" si="108"/>
        <v>0.41312865543986482</v>
      </c>
      <c r="AA875" t="str">
        <f t="shared" si="109"/>
        <v>February</v>
      </c>
      <c r="AB875">
        <f t="shared" si="110"/>
        <v>2025</v>
      </c>
      <c r="AC875" t="str">
        <f t="shared" si="111"/>
        <v>Clean</v>
      </c>
    </row>
    <row r="876" spans="1:29">
      <c r="A876" t="s">
        <v>2685</v>
      </c>
      <c r="B876" s="2">
        <v>45853</v>
      </c>
      <c r="C876" s="2">
        <v>45854</v>
      </c>
      <c r="D876" s="3">
        <f t="shared" si="104"/>
        <v>1</v>
      </c>
      <c r="E876" t="s">
        <v>2686</v>
      </c>
      <c r="F876" t="s">
        <v>71</v>
      </c>
      <c r="G876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2687</v>
      </c>
      <c r="N876" t="s">
        <v>59</v>
      </c>
      <c r="O876">
        <v>8</v>
      </c>
      <c r="P876">
        <v>3924.88</v>
      </c>
      <c r="Q876" s="6">
        <v>0.05</v>
      </c>
      <c r="R876">
        <v>29829.09</v>
      </c>
      <c r="S876">
        <v>20710.18</v>
      </c>
      <c r="T876">
        <v>9118.91</v>
      </c>
      <c r="U876" t="s">
        <v>32</v>
      </c>
      <c r="V876" t="s">
        <v>33</v>
      </c>
      <c r="W876" s="8">
        <f t="shared" si="105"/>
        <v>0.05</v>
      </c>
      <c r="X876">
        <f t="shared" si="106"/>
        <v>29829.088</v>
      </c>
      <c r="Y876">
        <f t="shared" si="107"/>
        <v>9118.9079999999994</v>
      </c>
      <c r="Z876" s="8">
        <f t="shared" si="108"/>
        <v>0.30570522303598419</v>
      </c>
      <c r="AA876" t="str">
        <f t="shared" si="109"/>
        <v>July</v>
      </c>
      <c r="AB876">
        <f t="shared" si="110"/>
        <v>2025</v>
      </c>
      <c r="AC876" t="str">
        <f t="shared" si="111"/>
        <v>Clean</v>
      </c>
    </row>
    <row r="877" spans="1:29">
      <c r="A877" t="s">
        <v>2688</v>
      </c>
      <c r="B877" s="2">
        <v>45514</v>
      </c>
      <c r="C877" s="2">
        <v>45515</v>
      </c>
      <c r="D877" s="3">
        <f t="shared" si="104"/>
        <v>1</v>
      </c>
      <c r="E877" t="s">
        <v>2689</v>
      </c>
      <c r="F877" t="s">
        <v>36</v>
      </c>
      <c r="G877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2690</v>
      </c>
      <c r="N877" t="s">
        <v>50</v>
      </c>
      <c r="O877">
        <v>7</v>
      </c>
      <c r="P877">
        <v>3852.62</v>
      </c>
      <c r="Q877" s="6">
        <v>0.2</v>
      </c>
      <c r="R877">
        <v>21574.67</v>
      </c>
      <c r="S877">
        <v>14672.83</v>
      </c>
      <c r="T877">
        <v>6901.84</v>
      </c>
      <c r="U877" t="s">
        <v>32</v>
      </c>
      <c r="V877" t="s">
        <v>33</v>
      </c>
      <c r="W877" s="8">
        <f t="shared" si="105"/>
        <v>0.2</v>
      </c>
      <c r="X877">
        <f t="shared" si="106"/>
        <v>21574.672000000002</v>
      </c>
      <c r="Y877">
        <f t="shared" si="107"/>
        <v>6901.8420000000024</v>
      </c>
      <c r="Z877" s="8">
        <f t="shared" si="108"/>
        <v>0.31990484026825539</v>
      </c>
      <c r="AA877" t="str">
        <f t="shared" si="109"/>
        <v>August</v>
      </c>
      <c r="AB877">
        <f t="shared" si="110"/>
        <v>2024</v>
      </c>
      <c r="AC877" t="str">
        <f t="shared" si="111"/>
        <v>Clean</v>
      </c>
    </row>
    <row r="878" spans="1:29">
      <c r="A878" t="s">
        <v>2691</v>
      </c>
      <c r="B878" s="2">
        <v>45614</v>
      </c>
      <c r="C878" s="2">
        <v>45616</v>
      </c>
      <c r="D878" s="3">
        <f t="shared" si="104"/>
        <v>2</v>
      </c>
      <c r="E878" t="s">
        <v>2692</v>
      </c>
      <c r="F878" t="s">
        <v>114</v>
      </c>
      <c r="G878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843</v>
      </c>
      <c r="N878" t="s">
        <v>50</v>
      </c>
      <c r="O878">
        <v>6</v>
      </c>
      <c r="P878">
        <v>3790.22</v>
      </c>
      <c r="Q878" s="7">
        <v>0</v>
      </c>
      <c r="R878">
        <v>22741.32</v>
      </c>
      <c r="S878">
        <v>16388.57</v>
      </c>
      <c r="T878">
        <v>6352.75</v>
      </c>
      <c r="U878" t="s">
        <v>32</v>
      </c>
      <c r="V878" t="s">
        <v>33</v>
      </c>
      <c r="W878" s="8">
        <f t="shared" si="105"/>
        <v>0</v>
      </c>
      <c r="X878">
        <f t="shared" si="106"/>
        <v>22741.32</v>
      </c>
      <c r="Y878">
        <f t="shared" si="107"/>
        <v>6352.75</v>
      </c>
      <c r="Z878" s="8">
        <f t="shared" si="108"/>
        <v>0.27934834037777928</v>
      </c>
      <c r="AA878" t="str">
        <f t="shared" si="109"/>
        <v>November</v>
      </c>
      <c r="AB878">
        <f t="shared" si="110"/>
        <v>2024</v>
      </c>
      <c r="AC878" t="str">
        <f t="shared" si="111"/>
        <v>Clean</v>
      </c>
    </row>
    <row r="879" spans="1:29">
      <c r="A879" t="s">
        <v>2693</v>
      </c>
      <c r="B879" s="2">
        <v>45895</v>
      </c>
      <c r="C879" s="2">
        <v>45903</v>
      </c>
      <c r="D879" s="3">
        <f t="shared" si="104"/>
        <v>8</v>
      </c>
      <c r="E879" t="s">
        <v>2694</v>
      </c>
      <c r="F879" t="s">
        <v>128</v>
      </c>
      <c r="G879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2695</v>
      </c>
      <c r="N879" t="s">
        <v>31</v>
      </c>
      <c r="O879">
        <v>6</v>
      </c>
      <c r="P879">
        <v>674.36</v>
      </c>
      <c r="Q879" s="6">
        <v>0.1</v>
      </c>
      <c r="R879">
        <v>3641.54</v>
      </c>
      <c r="S879">
        <v>2690.37</v>
      </c>
      <c r="T879">
        <v>951.17</v>
      </c>
      <c r="U879" t="s">
        <v>32</v>
      </c>
      <c r="V879" t="s">
        <v>33</v>
      </c>
      <c r="W879" s="8">
        <f t="shared" si="105"/>
        <v>0.1</v>
      </c>
      <c r="X879">
        <f t="shared" si="106"/>
        <v>3641.5439999999999</v>
      </c>
      <c r="Y879">
        <f t="shared" si="107"/>
        <v>951.17399999999998</v>
      </c>
      <c r="Z879" s="8">
        <f t="shared" si="108"/>
        <v>0.26120074342092253</v>
      </c>
      <c r="AA879" t="str">
        <f t="shared" si="109"/>
        <v>August</v>
      </c>
      <c r="AB879">
        <f t="shared" si="110"/>
        <v>2025</v>
      </c>
      <c r="AC879" t="str">
        <f t="shared" si="111"/>
        <v>Clean</v>
      </c>
    </row>
    <row r="880" spans="1:29">
      <c r="A880" t="s">
        <v>2696</v>
      </c>
      <c r="B880" s="2">
        <v>45313</v>
      </c>
      <c r="C880" s="2">
        <v>45313</v>
      </c>
      <c r="D880" s="3">
        <f t="shared" si="104"/>
        <v>0</v>
      </c>
      <c r="E880" t="s">
        <v>2697</v>
      </c>
      <c r="F880" t="s">
        <v>23</v>
      </c>
      <c r="G880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2698</v>
      </c>
      <c r="N880" t="s">
        <v>50</v>
      </c>
      <c r="O880">
        <v>8</v>
      </c>
      <c r="P880">
        <v>1557.21</v>
      </c>
      <c r="Q880" s="6">
        <v>0.05</v>
      </c>
      <c r="R880">
        <v>11834.8</v>
      </c>
      <c r="S880">
        <v>9322.36</v>
      </c>
      <c r="T880">
        <v>2512.44</v>
      </c>
      <c r="U880" t="s">
        <v>32</v>
      </c>
      <c r="V880" t="s">
        <v>33</v>
      </c>
      <c r="W880" s="8">
        <f t="shared" si="105"/>
        <v>0.05</v>
      </c>
      <c r="X880">
        <f t="shared" si="106"/>
        <v>11834.796</v>
      </c>
      <c r="Y880">
        <f t="shared" si="107"/>
        <v>2512.4359999999997</v>
      </c>
      <c r="Z880" s="8">
        <f t="shared" si="108"/>
        <v>0.21229229468763125</v>
      </c>
      <c r="AA880" t="str">
        <f t="shared" si="109"/>
        <v>January</v>
      </c>
      <c r="AB880">
        <f t="shared" si="110"/>
        <v>2024</v>
      </c>
      <c r="AC880" t="str">
        <f t="shared" si="111"/>
        <v>Clean</v>
      </c>
    </row>
    <row r="881" spans="1:29">
      <c r="A881" t="s">
        <v>2699</v>
      </c>
      <c r="B881" s="2">
        <v>45896</v>
      </c>
      <c r="C881" s="2">
        <v>45897</v>
      </c>
      <c r="D881" s="3">
        <f t="shared" si="104"/>
        <v>1</v>
      </c>
      <c r="E881" t="s">
        <v>2700</v>
      </c>
      <c r="F881" t="s">
        <v>62</v>
      </c>
      <c r="G881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2701</v>
      </c>
      <c r="N881" t="s">
        <v>59</v>
      </c>
      <c r="O881">
        <v>6</v>
      </c>
      <c r="P881">
        <v>1182.03</v>
      </c>
      <c r="Q881" s="6">
        <v>0.15</v>
      </c>
      <c r="R881">
        <v>6028.35</v>
      </c>
      <c r="S881">
        <v>4433.63</v>
      </c>
      <c r="T881">
        <v>1594.72</v>
      </c>
      <c r="U881" t="s">
        <v>32</v>
      </c>
      <c r="V881" t="s">
        <v>33</v>
      </c>
      <c r="W881" s="8">
        <f t="shared" si="105"/>
        <v>0.15</v>
      </c>
      <c r="X881">
        <f t="shared" si="106"/>
        <v>6028.3530000000001</v>
      </c>
      <c r="Y881">
        <f t="shared" si="107"/>
        <v>1594.723</v>
      </c>
      <c r="Z881" s="8">
        <f t="shared" si="108"/>
        <v>0.26453709661660491</v>
      </c>
      <c r="AA881" t="str">
        <f t="shared" si="109"/>
        <v>August</v>
      </c>
      <c r="AB881">
        <f t="shared" si="110"/>
        <v>2025</v>
      </c>
      <c r="AC881" t="str">
        <f t="shared" si="111"/>
        <v>Clean</v>
      </c>
    </row>
    <row r="882" spans="1:29">
      <c r="A882" t="s">
        <v>2702</v>
      </c>
      <c r="B882" s="2">
        <v>45507</v>
      </c>
      <c r="C882" s="2">
        <v>45366</v>
      </c>
      <c r="D882" s="5">
        <f t="shared" si="104"/>
        <v>-141</v>
      </c>
      <c r="E882" t="s">
        <v>2703</v>
      </c>
      <c r="F882" t="s">
        <v>128</v>
      </c>
      <c r="G882" t="s">
        <v>37</v>
      </c>
      <c r="H882" s="4" t="s">
        <v>2760</v>
      </c>
      <c r="I882" t="s">
        <v>122</v>
      </c>
      <c r="J882" t="s">
        <v>123</v>
      </c>
      <c r="K882" t="s">
        <v>41</v>
      </c>
      <c r="L882" t="s">
        <v>66</v>
      </c>
      <c r="M882" t="s">
        <v>2704</v>
      </c>
      <c r="N882" t="s">
        <v>50</v>
      </c>
      <c r="O882">
        <v>5</v>
      </c>
      <c r="P882">
        <v>3234.77</v>
      </c>
      <c r="Q882" s="7">
        <v>0</v>
      </c>
      <c r="R882">
        <v>16173.85</v>
      </c>
      <c r="S882">
        <v>13636.34</v>
      </c>
      <c r="T882">
        <v>2537.5100000000002</v>
      </c>
      <c r="U882" t="s">
        <v>32</v>
      </c>
      <c r="V882" t="s">
        <v>33</v>
      </c>
      <c r="W882" s="8">
        <f t="shared" si="105"/>
        <v>0</v>
      </c>
      <c r="X882">
        <f t="shared" si="106"/>
        <v>16173.85</v>
      </c>
      <c r="Y882">
        <f t="shared" si="107"/>
        <v>2537.5100000000002</v>
      </c>
      <c r="Z882" s="8">
        <f t="shared" si="108"/>
        <v>0.15688967067210344</v>
      </c>
      <c r="AA882" t="str">
        <f t="shared" si="109"/>
        <v>August</v>
      </c>
      <c r="AB882">
        <f t="shared" si="110"/>
        <v>2024</v>
      </c>
      <c r="AC882" t="str">
        <f t="shared" si="111"/>
        <v>Warning</v>
      </c>
    </row>
    <row r="883" spans="1:29">
      <c r="A883" t="s">
        <v>2705</v>
      </c>
      <c r="B883" s="2">
        <v>45627</v>
      </c>
      <c r="C883" s="2">
        <v>45424</v>
      </c>
      <c r="D883" s="5">
        <f t="shared" si="104"/>
        <v>-203</v>
      </c>
      <c r="E883" t="s">
        <v>2706</v>
      </c>
      <c r="F883" t="s">
        <v>62</v>
      </c>
      <c r="G883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2707</v>
      </c>
      <c r="N883" t="s">
        <v>31</v>
      </c>
      <c r="O883">
        <v>9</v>
      </c>
      <c r="P883">
        <v>3726.75</v>
      </c>
      <c r="Q883" s="6">
        <v>0.25</v>
      </c>
      <c r="R883">
        <v>25155.56</v>
      </c>
      <c r="S883">
        <v>17592.689999999999</v>
      </c>
      <c r="T883">
        <v>7562.87</v>
      </c>
      <c r="U883" t="s">
        <v>32</v>
      </c>
      <c r="V883" t="s">
        <v>33</v>
      </c>
      <c r="W883" s="8">
        <f t="shared" si="105"/>
        <v>0.25</v>
      </c>
      <c r="X883">
        <f t="shared" si="106"/>
        <v>25155.5625</v>
      </c>
      <c r="Y883">
        <f t="shared" si="107"/>
        <v>7562.8725000000013</v>
      </c>
      <c r="Z883" s="8">
        <f t="shared" si="108"/>
        <v>0.30064414182747856</v>
      </c>
      <c r="AA883" t="str">
        <f t="shared" si="109"/>
        <v>December</v>
      </c>
      <c r="AB883">
        <f t="shared" si="110"/>
        <v>2024</v>
      </c>
      <c r="AC883" t="str">
        <f t="shared" si="111"/>
        <v>Warning</v>
      </c>
    </row>
    <row r="884" spans="1:29">
      <c r="A884" t="s">
        <v>2708</v>
      </c>
      <c r="B884" s="2">
        <v>45690</v>
      </c>
      <c r="C884" s="2">
        <v>45698</v>
      </c>
      <c r="D884" s="3">
        <f t="shared" si="104"/>
        <v>8</v>
      </c>
      <c r="E884" t="s">
        <v>2709</v>
      </c>
      <c r="F884" t="s">
        <v>132</v>
      </c>
      <c r="G884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2710</v>
      </c>
      <c r="N884" t="s">
        <v>59</v>
      </c>
      <c r="O884">
        <v>4</v>
      </c>
      <c r="P884">
        <v>1912.45</v>
      </c>
      <c r="Q884" s="7">
        <v>0</v>
      </c>
      <c r="R884">
        <v>7649.8</v>
      </c>
      <c r="S884">
        <v>4894.53</v>
      </c>
      <c r="T884">
        <v>2755.27</v>
      </c>
      <c r="U884" t="s">
        <v>111</v>
      </c>
      <c r="V884" t="s">
        <v>103</v>
      </c>
      <c r="W884" s="8">
        <f t="shared" si="105"/>
        <v>0</v>
      </c>
      <c r="X884">
        <f t="shared" si="106"/>
        <v>7649.8</v>
      </c>
      <c r="Y884">
        <f t="shared" si="107"/>
        <v>2755.2700000000004</v>
      </c>
      <c r="Z884" s="8">
        <f t="shared" si="108"/>
        <v>0.36017542942299152</v>
      </c>
      <c r="AA884" t="str">
        <f t="shared" si="109"/>
        <v>February</v>
      </c>
      <c r="AB884">
        <f t="shared" si="110"/>
        <v>2025</v>
      </c>
      <c r="AC884" t="str">
        <f t="shared" si="111"/>
        <v>Clean</v>
      </c>
    </row>
    <row r="885" spans="1:29">
      <c r="A885" t="s">
        <v>2711</v>
      </c>
      <c r="B885" s="2">
        <v>45775</v>
      </c>
      <c r="C885" s="2">
        <v>45778</v>
      </c>
      <c r="D885" s="3">
        <f t="shared" si="104"/>
        <v>3</v>
      </c>
      <c r="E885" t="s">
        <v>2712</v>
      </c>
      <c r="F885" t="s">
        <v>128</v>
      </c>
      <c r="G88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2713</v>
      </c>
      <c r="N885" t="s">
        <v>44</v>
      </c>
      <c r="O885">
        <v>1</v>
      </c>
      <c r="P885">
        <v>1620.87</v>
      </c>
      <c r="Q885" s="7">
        <v>0</v>
      </c>
      <c r="R885">
        <v>1620.87</v>
      </c>
      <c r="S885">
        <v>1103.6099999999999</v>
      </c>
      <c r="T885">
        <v>517.26</v>
      </c>
      <c r="U885" t="s">
        <v>32</v>
      </c>
      <c r="V885" t="s">
        <v>33</v>
      </c>
      <c r="W885" s="8">
        <f t="shared" si="105"/>
        <v>0</v>
      </c>
      <c r="X885">
        <f t="shared" si="106"/>
        <v>1620.87</v>
      </c>
      <c r="Y885">
        <f t="shared" si="107"/>
        <v>517.26</v>
      </c>
      <c r="Z885" s="8">
        <f t="shared" si="108"/>
        <v>0.31912491439782342</v>
      </c>
      <c r="AA885" t="str">
        <f t="shared" si="109"/>
        <v>April</v>
      </c>
      <c r="AB885">
        <f t="shared" si="110"/>
        <v>2025</v>
      </c>
      <c r="AC885" t="str">
        <f t="shared" si="111"/>
        <v>Clean</v>
      </c>
    </row>
    <row r="886" spans="1:29">
      <c r="A886" t="s">
        <v>2714</v>
      </c>
      <c r="B886" s="2">
        <v>45675</v>
      </c>
      <c r="C886" s="2">
        <v>45682</v>
      </c>
      <c r="D886" s="3">
        <f t="shared" si="104"/>
        <v>7</v>
      </c>
      <c r="E886" t="s">
        <v>2715</v>
      </c>
      <c r="F886" t="s">
        <v>79</v>
      </c>
      <c r="G886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2716</v>
      </c>
      <c r="N886" t="s">
        <v>44</v>
      </c>
      <c r="O886">
        <v>2</v>
      </c>
      <c r="P886">
        <v>2098.54</v>
      </c>
      <c r="Q886" s="6">
        <v>0.15</v>
      </c>
      <c r="R886">
        <v>3567.52</v>
      </c>
      <c r="S886">
        <v>2411.8000000000002</v>
      </c>
      <c r="T886">
        <v>1155.72</v>
      </c>
      <c r="U886" t="s">
        <v>32</v>
      </c>
      <c r="V886" t="s">
        <v>33</v>
      </c>
      <c r="W886" s="8">
        <f t="shared" si="105"/>
        <v>0.15</v>
      </c>
      <c r="X886">
        <f t="shared" si="106"/>
        <v>3567.518</v>
      </c>
      <c r="Y886">
        <f t="shared" si="107"/>
        <v>1155.7179999999998</v>
      </c>
      <c r="Z886" s="8">
        <f t="shared" si="108"/>
        <v>0.32395575859743381</v>
      </c>
      <c r="AA886" t="str">
        <f t="shared" si="109"/>
        <v>January</v>
      </c>
      <c r="AB886">
        <f t="shared" si="110"/>
        <v>2025</v>
      </c>
      <c r="AC886" t="str">
        <f t="shared" si="111"/>
        <v>Clean</v>
      </c>
    </row>
    <row r="887" spans="1:29">
      <c r="A887" t="s">
        <v>2717</v>
      </c>
      <c r="B887" s="2">
        <v>45296</v>
      </c>
      <c r="C887" s="2">
        <v>45296</v>
      </c>
      <c r="D887" s="3">
        <f t="shared" si="104"/>
        <v>0</v>
      </c>
      <c r="E887" t="s">
        <v>2718</v>
      </c>
      <c r="F887" t="s">
        <v>162</v>
      </c>
      <c r="G887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2719</v>
      </c>
      <c r="N887" t="s">
        <v>59</v>
      </c>
      <c r="O887">
        <v>1</v>
      </c>
      <c r="P887">
        <v>2167.08</v>
      </c>
      <c r="Q887" s="6">
        <v>0.25</v>
      </c>
      <c r="R887">
        <v>1625.31</v>
      </c>
      <c r="S887">
        <v>1157.8900000000001</v>
      </c>
      <c r="T887">
        <v>467.42</v>
      </c>
      <c r="U887" t="s">
        <v>32</v>
      </c>
      <c r="V887" t="s">
        <v>33</v>
      </c>
      <c r="W887" s="8">
        <f t="shared" si="105"/>
        <v>0.25</v>
      </c>
      <c r="X887">
        <f t="shared" si="106"/>
        <v>1625.31</v>
      </c>
      <c r="Y887">
        <f t="shared" si="107"/>
        <v>467.41999999999985</v>
      </c>
      <c r="Z887" s="8">
        <f t="shared" si="108"/>
        <v>0.28758821394072509</v>
      </c>
      <c r="AA887" t="str">
        <f t="shared" si="109"/>
        <v>January</v>
      </c>
      <c r="AB887">
        <f t="shared" si="110"/>
        <v>2024</v>
      </c>
      <c r="AC887" t="str">
        <f t="shared" si="111"/>
        <v>Clean</v>
      </c>
    </row>
    <row r="888" spans="1:29">
      <c r="A888" t="s">
        <v>2720</v>
      </c>
      <c r="B888" s="2">
        <v>45773</v>
      </c>
      <c r="C888" s="2">
        <v>45721</v>
      </c>
      <c r="D888" s="5">
        <f t="shared" si="104"/>
        <v>-52</v>
      </c>
      <c r="E888" t="s">
        <v>2721</v>
      </c>
      <c r="F888" t="s">
        <v>53</v>
      </c>
      <c r="G888" t="s">
        <v>95</v>
      </c>
      <c r="H888" t="s">
        <v>54</v>
      </c>
      <c r="I888" t="s">
        <v>247</v>
      </c>
      <c r="J888" t="s">
        <v>248</v>
      </c>
      <c r="K888" t="s">
        <v>74</v>
      </c>
      <c r="L888" t="s">
        <v>75</v>
      </c>
      <c r="M888" t="s">
        <v>2722</v>
      </c>
      <c r="N888" t="s">
        <v>50</v>
      </c>
      <c r="O888">
        <v>7</v>
      </c>
      <c r="P888">
        <v>3989.9</v>
      </c>
      <c r="Q888" s="6">
        <v>0.15</v>
      </c>
      <c r="R888">
        <v>23739.9</v>
      </c>
      <c r="S888">
        <v>17716.52</v>
      </c>
      <c r="T888">
        <v>6023.38</v>
      </c>
      <c r="U888" t="s">
        <v>32</v>
      </c>
      <c r="V888" t="s">
        <v>68</v>
      </c>
      <c r="W888" s="8">
        <f t="shared" si="105"/>
        <v>0.15</v>
      </c>
      <c r="X888">
        <f t="shared" si="106"/>
        <v>23739.904999999999</v>
      </c>
      <c r="Y888">
        <f t="shared" si="107"/>
        <v>6023.3849999999984</v>
      </c>
      <c r="Z888" s="8">
        <f t="shared" si="108"/>
        <v>0.25372405660427028</v>
      </c>
      <c r="AA888" t="str">
        <f t="shared" si="109"/>
        <v>April</v>
      </c>
      <c r="AB888">
        <f t="shared" si="110"/>
        <v>2025</v>
      </c>
      <c r="AC888" t="str">
        <f t="shared" si="111"/>
        <v>Warning</v>
      </c>
    </row>
    <row r="889" spans="1:29">
      <c r="A889" t="s">
        <v>2723</v>
      </c>
      <c r="B889" s="2">
        <v>45455</v>
      </c>
      <c r="C889" s="2">
        <v>45461</v>
      </c>
      <c r="D889" s="3">
        <f t="shared" si="104"/>
        <v>6</v>
      </c>
      <c r="E889" t="s">
        <v>2724</v>
      </c>
      <c r="F889" t="s">
        <v>128</v>
      </c>
      <c r="G889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2725</v>
      </c>
      <c r="N889" t="s">
        <v>59</v>
      </c>
      <c r="O889">
        <v>4</v>
      </c>
      <c r="P889">
        <v>4176.13</v>
      </c>
      <c r="Q889" s="7">
        <v>0</v>
      </c>
      <c r="R889">
        <v>16704.52</v>
      </c>
      <c r="S889">
        <v>10158.280000000001</v>
      </c>
      <c r="T889">
        <v>6546.24</v>
      </c>
      <c r="U889" t="s">
        <v>32</v>
      </c>
      <c r="V889" t="s">
        <v>33</v>
      </c>
      <c r="W889" s="8">
        <f t="shared" si="105"/>
        <v>0</v>
      </c>
      <c r="X889">
        <f t="shared" si="106"/>
        <v>16704.52</v>
      </c>
      <c r="Y889">
        <f t="shared" si="107"/>
        <v>6546.24</v>
      </c>
      <c r="Z889" s="8">
        <f t="shared" si="108"/>
        <v>0.39188435225914897</v>
      </c>
      <c r="AA889" t="str">
        <f t="shared" si="109"/>
        <v>June</v>
      </c>
      <c r="AB889">
        <f t="shared" si="110"/>
        <v>2024</v>
      </c>
      <c r="AC889" t="str">
        <f t="shared" si="111"/>
        <v>Clean</v>
      </c>
    </row>
    <row r="890" spans="1:29">
      <c r="A890" t="s">
        <v>2726</v>
      </c>
      <c r="B890" s="2">
        <v>45816</v>
      </c>
      <c r="C890" s="2">
        <v>45846</v>
      </c>
      <c r="D890" s="3">
        <f t="shared" si="104"/>
        <v>30</v>
      </c>
      <c r="E890" t="s">
        <v>2727</v>
      </c>
      <c r="F890" t="s">
        <v>118</v>
      </c>
      <c r="G890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2728</v>
      </c>
      <c r="N890" t="s">
        <v>59</v>
      </c>
      <c r="O890">
        <v>4</v>
      </c>
      <c r="P890">
        <v>3523.64</v>
      </c>
      <c r="Q890" s="6">
        <v>0.1</v>
      </c>
      <c r="R890">
        <v>12685.1</v>
      </c>
      <c r="S890">
        <v>10779.56</v>
      </c>
      <c r="T890">
        <v>1905.54</v>
      </c>
      <c r="U890" t="s">
        <v>102</v>
      </c>
      <c r="V890" t="s">
        <v>68</v>
      </c>
      <c r="W890" s="8">
        <f t="shared" si="105"/>
        <v>0.1</v>
      </c>
      <c r="X890">
        <f t="shared" si="106"/>
        <v>12685.103999999999</v>
      </c>
      <c r="Y890">
        <f t="shared" si="107"/>
        <v>1905.5439999999999</v>
      </c>
      <c r="Z890" s="8">
        <f t="shared" si="108"/>
        <v>0.15021902855506741</v>
      </c>
      <c r="AA890" t="str">
        <f t="shared" si="109"/>
        <v>June</v>
      </c>
      <c r="AB890">
        <f t="shared" si="110"/>
        <v>2025</v>
      </c>
      <c r="AC890" t="str">
        <f t="shared" si="111"/>
        <v>Clean</v>
      </c>
    </row>
    <row r="891" spans="1:29">
      <c r="A891" t="s">
        <v>2729</v>
      </c>
      <c r="B891" s="2">
        <v>45726</v>
      </c>
      <c r="C891" s="2">
        <v>45727</v>
      </c>
      <c r="D891" s="3">
        <f t="shared" si="104"/>
        <v>1</v>
      </c>
      <c r="E891" t="s">
        <v>881</v>
      </c>
      <c r="F891" t="s">
        <v>89</v>
      </c>
      <c r="G891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2730</v>
      </c>
      <c r="N891" t="s">
        <v>50</v>
      </c>
      <c r="O891">
        <v>2</v>
      </c>
      <c r="P891">
        <v>3922.08</v>
      </c>
      <c r="Q891" s="6">
        <v>0.25</v>
      </c>
      <c r="R891">
        <v>5883.12</v>
      </c>
      <c r="S891">
        <v>4647.91</v>
      </c>
      <c r="T891">
        <v>1235.21</v>
      </c>
      <c r="U891" t="s">
        <v>32</v>
      </c>
      <c r="V891" t="s">
        <v>103</v>
      </c>
      <c r="W891" s="8">
        <f t="shared" si="105"/>
        <v>0.25</v>
      </c>
      <c r="X891">
        <f t="shared" si="106"/>
        <v>5883.12</v>
      </c>
      <c r="Y891">
        <f t="shared" si="107"/>
        <v>1235.21</v>
      </c>
      <c r="Z891" s="8">
        <f t="shared" si="108"/>
        <v>0.20995832143488491</v>
      </c>
      <c r="AA891" t="str">
        <f t="shared" si="109"/>
        <v>March</v>
      </c>
      <c r="AB891">
        <f t="shared" si="110"/>
        <v>2025</v>
      </c>
      <c r="AC891" t="str">
        <f t="shared" si="111"/>
        <v>Clean</v>
      </c>
    </row>
    <row r="892" spans="1:29">
      <c r="A892" t="s">
        <v>2731</v>
      </c>
      <c r="B892" s="2">
        <v>45427</v>
      </c>
      <c r="C892" s="2">
        <v>45433</v>
      </c>
      <c r="D892" s="3">
        <f t="shared" si="104"/>
        <v>6</v>
      </c>
      <c r="E892" t="s">
        <v>2732</v>
      </c>
      <c r="F892" t="s">
        <v>23</v>
      </c>
      <c r="G892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2733</v>
      </c>
      <c r="N892" t="s">
        <v>59</v>
      </c>
      <c r="O892">
        <v>6</v>
      </c>
      <c r="P892">
        <v>2909.56</v>
      </c>
      <c r="Q892" s="6">
        <v>0.2</v>
      </c>
      <c r="R892">
        <v>13965.89</v>
      </c>
      <c r="S892">
        <v>11646.12</v>
      </c>
      <c r="T892">
        <v>2319.77</v>
      </c>
      <c r="U892" t="s">
        <v>32</v>
      </c>
      <c r="V892" t="s">
        <v>33</v>
      </c>
      <c r="W892" s="8">
        <f t="shared" si="105"/>
        <v>0.2</v>
      </c>
      <c r="X892">
        <f t="shared" si="106"/>
        <v>13965.888000000001</v>
      </c>
      <c r="Y892">
        <f t="shared" si="107"/>
        <v>2319.768</v>
      </c>
      <c r="Z892" s="8">
        <f t="shared" si="108"/>
        <v>0.16610243473239938</v>
      </c>
      <c r="AA892" t="str">
        <f t="shared" si="109"/>
        <v>May</v>
      </c>
      <c r="AB892">
        <f t="shared" si="110"/>
        <v>2024</v>
      </c>
      <c r="AC892" t="str">
        <f t="shared" si="111"/>
        <v>Clean</v>
      </c>
    </row>
    <row r="893" spans="1:29">
      <c r="A893" t="s">
        <v>2734</v>
      </c>
      <c r="B893" s="2">
        <v>45573</v>
      </c>
      <c r="C893" s="2">
        <v>45545</v>
      </c>
      <c r="D893" s="5">
        <f t="shared" si="104"/>
        <v>-28</v>
      </c>
      <c r="E893" t="s">
        <v>2735</v>
      </c>
      <c r="F893" t="s">
        <v>264</v>
      </c>
      <c r="G893" t="s">
        <v>90</v>
      </c>
      <c r="H893" t="s">
        <v>54</v>
      </c>
      <c r="I893" t="s">
        <v>247</v>
      </c>
      <c r="J893" t="s">
        <v>248</v>
      </c>
      <c r="K893" t="s">
        <v>74</v>
      </c>
      <c r="L893" t="s">
        <v>274</v>
      </c>
      <c r="M893" t="s">
        <v>2736</v>
      </c>
      <c r="N893" t="s">
        <v>44</v>
      </c>
      <c r="O893">
        <v>5</v>
      </c>
      <c r="P893">
        <v>2407.9699999999998</v>
      </c>
      <c r="Q893" s="6">
        <v>0.1</v>
      </c>
      <c r="R893">
        <v>10835.86</v>
      </c>
      <c r="S893">
        <v>6419.92</v>
      </c>
      <c r="T893">
        <v>4415.9399999999996</v>
      </c>
      <c r="U893" t="s">
        <v>155</v>
      </c>
      <c r="V893" t="s">
        <v>68</v>
      </c>
      <c r="W893" s="8">
        <f t="shared" si="105"/>
        <v>0.1</v>
      </c>
      <c r="X893">
        <f t="shared" si="106"/>
        <v>10835.865</v>
      </c>
      <c r="Y893">
        <f t="shared" si="107"/>
        <v>4415.9449999999997</v>
      </c>
      <c r="Z893" s="8">
        <f t="shared" si="108"/>
        <v>0.40753045557507406</v>
      </c>
      <c r="AA893" t="str">
        <f t="shared" si="109"/>
        <v>October</v>
      </c>
      <c r="AB893">
        <f t="shared" si="110"/>
        <v>2024</v>
      </c>
      <c r="AC893" t="str">
        <f t="shared" si="111"/>
        <v>Warning</v>
      </c>
    </row>
    <row r="894" spans="1:29">
      <c r="A894" t="s">
        <v>2737</v>
      </c>
      <c r="B894" s="2">
        <v>45759</v>
      </c>
      <c r="C894" s="2">
        <v>45765</v>
      </c>
      <c r="D894" s="3">
        <f t="shared" si="104"/>
        <v>6</v>
      </c>
      <c r="E894" t="s">
        <v>2738</v>
      </c>
      <c r="F894" t="s">
        <v>47</v>
      </c>
      <c r="G894" t="s">
        <v>37</v>
      </c>
      <c r="H894" t="s">
        <v>38</v>
      </c>
      <c r="I894" t="s">
        <v>228</v>
      </c>
      <c r="J894" t="s">
        <v>229</v>
      </c>
      <c r="K894" t="s">
        <v>74</v>
      </c>
      <c r="L894" t="s">
        <v>80</v>
      </c>
      <c r="M894" t="s">
        <v>2739</v>
      </c>
      <c r="N894" t="s">
        <v>44</v>
      </c>
      <c r="O894">
        <v>1</v>
      </c>
      <c r="P894">
        <v>726.89</v>
      </c>
      <c r="Q894" s="6">
        <v>0.2</v>
      </c>
      <c r="R894">
        <v>581.51</v>
      </c>
      <c r="S894">
        <v>423.86</v>
      </c>
      <c r="T894">
        <v>157.65</v>
      </c>
      <c r="U894" t="s">
        <v>32</v>
      </c>
      <c r="V894" t="s">
        <v>33</v>
      </c>
      <c r="W894" s="8">
        <f t="shared" si="105"/>
        <v>0.2</v>
      </c>
      <c r="X894">
        <f t="shared" si="106"/>
        <v>581.51200000000006</v>
      </c>
      <c r="Y894">
        <f t="shared" si="107"/>
        <v>157.65200000000004</v>
      </c>
      <c r="Z894" s="8">
        <f t="shared" si="108"/>
        <v>0.27110704508247468</v>
      </c>
      <c r="AA894" t="str">
        <f t="shared" si="109"/>
        <v>April</v>
      </c>
      <c r="AB894">
        <f t="shared" si="110"/>
        <v>2025</v>
      </c>
      <c r="AC894" t="str">
        <f t="shared" si="111"/>
        <v>Clean</v>
      </c>
    </row>
    <row r="895" spans="1:29">
      <c r="A895" t="s">
        <v>2740</v>
      </c>
      <c r="B895" s="2">
        <v>45449</v>
      </c>
      <c r="C895" s="2">
        <v>45451</v>
      </c>
      <c r="D895" s="3">
        <f t="shared" si="104"/>
        <v>2</v>
      </c>
      <c r="E895" t="s">
        <v>2741</v>
      </c>
      <c r="F895" t="s">
        <v>128</v>
      </c>
      <c r="G89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2742</v>
      </c>
      <c r="N895" t="s">
        <v>31</v>
      </c>
      <c r="O895">
        <v>3</v>
      </c>
      <c r="P895">
        <v>395.49</v>
      </c>
      <c r="Q895" s="6">
        <v>0.05</v>
      </c>
      <c r="R895">
        <v>1127.1500000000001</v>
      </c>
      <c r="S895">
        <v>845.62</v>
      </c>
      <c r="T895">
        <v>281.52999999999997</v>
      </c>
      <c r="U895" t="s">
        <v>32</v>
      </c>
      <c r="V895" t="s">
        <v>103</v>
      </c>
      <c r="W895" s="8">
        <f t="shared" si="105"/>
        <v>0.05</v>
      </c>
      <c r="X895">
        <f t="shared" si="106"/>
        <v>1127.1465000000001</v>
      </c>
      <c r="Y895">
        <f t="shared" si="107"/>
        <v>281.52650000000006</v>
      </c>
      <c r="Z895" s="8">
        <f t="shared" si="108"/>
        <v>0.24976921810962466</v>
      </c>
      <c r="AA895" t="str">
        <f t="shared" si="109"/>
        <v>June</v>
      </c>
      <c r="AB895">
        <f t="shared" si="110"/>
        <v>2024</v>
      </c>
      <c r="AC895" t="str">
        <f t="shared" si="111"/>
        <v>Clean</v>
      </c>
    </row>
    <row r="896" spans="1:29">
      <c r="A896" t="s">
        <v>2743</v>
      </c>
      <c r="B896" s="2">
        <v>45344</v>
      </c>
      <c r="C896" s="2">
        <v>45351</v>
      </c>
      <c r="D896" s="3">
        <f t="shared" si="104"/>
        <v>7</v>
      </c>
      <c r="E896" t="s">
        <v>2744</v>
      </c>
      <c r="F896" t="s">
        <v>47</v>
      </c>
      <c r="G896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2745</v>
      </c>
      <c r="N896" t="s">
        <v>50</v>
      </c>
      <c r="O896">
        <v>6</v>
      </c>
      <c r="P896">
        <v>4254.05</v>
      </c>
      <c r="Q896" s="7">
        <v>0</v>
      </c>
      <c r="R896">
        <v>25524.3</v>
      </c>
      <c r="S896">
        <v>16711.93</v>
      </c>
      <c r="T896">
        <v>8812.3700000000008</v>
      </c>
      <c r="U896" t="s">
        <v>32</v>
      </c>
      <c r="V896" t="s">
        <v>33</v>
      </c>
      <c r="W896" s="8">
        <f t="shared" si="105"/>
        <v>0</v>
      </c>
      <c r="X896">
        <f t="shared" si="106"/>
        <v>25524.300000000003</v>
      </c>
      <c r="Y896">
        <f t="shared" si="107"/>
        <v>8812.3700000000026</v>
      </c>
      <c r="Z896" s="8">
        <f t="shared" si="108"/>
        <v>0.34525413037771857</v>
      </c>
      <c r="AA896" t="str">
        <f t="shared" si="109"/>
        <v>February</v>
      </c>
      <c r="AB896">
        <f t="shared" si="110"/>
        <v>2024</v>
      </c>
      <c r="AC896" t="str">
        <f t="shared" si="111"/>
        <v>Clean</v>
      </c>
    </row>
    <row r="897" spans="1:29">
      <c r="A897" t="s">
        <v>2746</v>
      </c>
      <c r="B897" s="2">
        <v>45601</v>
      </c>
      <c r="C897" s="2">
        <v>45606</v>
      </c>
      <c r="D897" s="3">
        <f t="shared" si="104"/>
        <v>5</v>
      </c>
      <c r="E897" t="s">
        <v>2747</v>
      </c>
      <c r="F897" t="s">
        <v>53</v>
      </c>
      <c r="G897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2748</v>
      </c>
      <c r="N897" t="s">
        <v>44</v>
      </c>
      <c r="O897">
        <v>4</v>
      </c>
      <c r="P897">
        <v>711.18</v>
      </c>
      <c r="Q897" s="6">
        <v>0.15</v>
      </c>
      <c r="R897">
        <v>2418.0100000000002</v>
      </c>
      <c r="S897">
        <v>1441.89</v>
      </c>
      <c r="T897">
        <v>976.12</v>
      </c>
      <c r="U897" t="s">
        <v>111</v>
      </c>
      <c r="V897" t="s">
        <v>103</v>
      </c>
      <c r="W897" s="8">
        <f t="shared" si="105"/>
        <v>0.15</v>
      </c>
      <c r="X897">
        <f t="shared" si="106"/>
        <v>2418.0119999999997</v>
      </c>
      <c r="Y897">
        <f t="shared" si="107"/>
        <v>976.12199999999962</v>
      </c>
      <c r="Z897" s="8">
        <f t="shared" si="108"/>
        <v>0.40368782288921634</v>
      </c>
      <c r="AA897" t="str">
        <f t="shared" si="109"/>
        <v>November</v>
      </c>
      <c r="AB897">
        <f t="shared" si="110"/>
        <v>2024</v>
      </c>
      <c r="AC897" t="str">
        <f t="shared" si="111"/>
        <v>Clean</v>
      </c>
    </row>
    <row r="898" spans="1:29">
      <c r="A898" t="s">
        <v>2749</v>
      </c>
      <c r="B898" s="2">
        <v>45650</v>
      </c>
      <c r="C898" s="2">
        <v>45651</v>
      </c>
      <c r="D898" s="3">
        <f t="shared" ref="D898:D961" si="112">C898-B898</f>
        <v>1</v>
      </c>
      <c r="E898" t="s">
        <v>2750</v>
      </c>
      <c r="F898" t="s">
        <v>62</v>
      </c>
      <c r="G898" t="s">
        <v>37</v>
      </c>
      <c r="H898" t="s">
        <v>54</v>
      </c>
      <c r="I898" t="s">
        <v>247</v>
      </c>
      <c r="J898" t="s">
        <v>248</v>
      </c>
      <c r="K898" t="s">
        <v>74</v>
      </c>
      <c r="L898" t="s">
        <v>80</v>
      </c>
      <c r="M898" t="s">
        <v>2751</v>
      </c>
      <c r="N898" t="s">
        <v>31</v>
      </c>
      <c r="O898">
        <v>1</v>
      </c>
      <c r="P898">
        <v>3693.03</v>
      </c>
      <c r="Q898" s="6">
        <v>0.05</v>
      </c>
      <c r="R898">
        <v>3508.38</v>
      </c>
      <c r="S898">
        <v>2828.06</v>
      </c>
      <c r="T898">
        <v>680.32</v>
      </c>
      <c r="U898" t="s">
        <v>155</v>
      </c>
      <c r="V898" t="s">
        <v>103</v>
      </c>
      <c r="W898" s="8">
        <f t="shared" si="105"/>
        <v>0.05</v>
      </c>
      <c r="X898">
        <f t="shared" si="106"/>
        <v>3508.3784999999998</v>
      </c>
      <c r="Y898">
        <f t="shared" si="107"/>
        <v>680.31849999999986</v>
      </c>
      <c r="Z898" s="8">
        <f t="shared" si="108"/>
        <v>0.19391251542557336</v>
      </c>
      <c r="AA898" t="str">
        <f t="shared" si="109"/>
        <v>December</v>
      </c>
      <c r="AB898">
        <f t="shared" si="110"/>
        <v>2024</v>
      </c>
      <c r="AC898" t="str">
        <f t="shared" si="111"/>
        <v>Clean</v>
      </c>
    </row>
    <row r="899" spans="1:29">
      <c r="A899" t="s">
        <v>2752</v>
      </c>
      <c r="B899" s="2">
        <v>45776</v>
      </c>
      <c r="C899" s="2">
        <v>45780</v>
      </c>
      <c r="D899" s="3">
        <f t="shared" si="112"/>
        <v>4</v>
      </c>
      <c r="E899" t="s">
        <v>2119</v>
      </c>
      <c r="F899" t="s">
        <v>141</v>
      </c>
      <c r="G899" t="s">
        <v>90</v>
      </c>
      <c r="H899" t="s">
        <v>25</v>
      </c>
      <c r="I899" t="s">
        <v>236</v>
      </c>
      <c r="J899" t="s">
        <v>237</v>
      </c>
      <c r="K899" t="s">
        <v>28</v>
      </c>
      <c r="L899" t="s">
        <v>29</v>
      </c>
      <c r="M899" t="s">
        <v>2753</v>
      </c>
      <c r="N899" t="s">
        <v>50</v>
      </c>
      <c r="O899">
        <v>4</v>
      </c>
      <c r="P899">
        <v>1786.65</v>
      </c>
      <c r="Q899" s="6">
        <v>0.05</v>
      </c>
      <c r="R899">
        <v>6789.27</v>
      </c>
      <c r="S899">
        <v>5626.43</v>
      </c>
      <c r="T899">
        <v>1162.8399999999999</v>
      </c>
      <c r="U899" t="s">
        <v>32</v>
      </c>
      <c r="V899" t="s">
        <v>33</v>
      </c>
      <c r="W899" s="8">
        <f t="shared" ref="W899:W913" si="113">Q899</f>
        <v>0.05</v>
      </c>
      <c r="X899">
        <f t="shared" ref="X899:X913" si="114">O899*P899*(1-W899)</f>
        <v>6789.27</v>
      </c>
      <c r="Y899">
        <f t="shared" ref="Y899:Y913" si="115">X899-S899</f>
        <v>1162.8400000000001</v>
      </c>
      <c r="Z899" s="8">
        <f t="shared" ref="Z899:Z913" si="116">IF(X899=0,0,Y899/X899)</f>
        <v>0.17127614603631908</v>
      </c>
      <c r="AA899" t="str">
        <f t="shared" ref="AA899:AA913" si="117">TEXT(B899,"mmmm")</f>
        <v>April</v>
      </c>
      <c r="AB899">
        <f t="shared" ref="AB899:AB913" si="118">YEAR(B899)</f>
        <v>2025</v>
      </c>
      <c r="AC899" t="str">
        <f t="shared" ref="AC899:AC913" si="119">IF(Q899&lt;0,"Invalid",IF(D899&lt;0,"Warning","Clean"))</f>
        <v>Clean</v>
      </c>
    </row>
    <row r="900" spans="1:29">
      <c r="A900" t="s">
        <v>2754</v>
      </c>
      <c r="B900" s="2">
        <v>45445</v>
      </c>
      <c r="C900" s="2">
        <v>45451</v>
      </c>
      <c r="D900" s="3">
        <f t="shared" si="112"/>
        <v>6</v>
      </c>
      <c r="E900" t="s">
        <v>2755</v>
      </c>
      <c r="F900" t="s">
        <v>71</v>
      </c>
      <c r="G900" t="s">
        <v>24</v>
      </c>
      <c r="H900" t="s">
        <v>25</v>
      </c>
      <c r="I900" t="s">
        <v>350</v>
      </c>
      <c r="J900" t="s">
        <v>351</v>
      </c>
      <c r="K900" t="s">
        <v>41</v>
      </c>
      <c r="L900" t="s">
        <v>42</v>
      </c>
      <c r="M900" t="s">
        <v>2756</v>
      </c>
      <c r="N900" t="s">
        <v>50</v>
      </c>
      <c r="O900">
        <v>4</v>
      </c>
      <c r="P900">
        <v>1536.7</v>
      </c>
      <c r="Q900" s="6">
        <v>0.2</v>
      </c>
      <c r="R900">
        <v>4917.4399999999996</v>
      </c>
      <c r="S900">
        <v>3846.77</v>
      </c>
      <c r="T900">
        <v>1070.67</v>
      </c>
      <c r="U900" t="s">
        <v>32</v>
      </c>
      <c r="V900" t="s">
        <v>33</v>
      </c>
      <c r="W900" s="8">
        <f t="shared" si="113"/>
        <v>0.2</v>
      </c>
      <c r="X900">
        <f t="shared" si="114"/>
        <v>4917.4400000000005</v>
      </c>
      <c r="Y900">
        <f t="shared" si="115"/>
        <v>1070.6700000000005</v>
      </c>
      <c r="Z900" s="8">
        <f t="shared" si="116"/>
        <v>0.21772914361944434</v>
      </c>
      <c r="AA900" t="str">
        <f t="shared" si="117"/>
        <v>June</v>
      </c>
      <c r="AB900">
        <f t="shared" si="118"/>
        <v>2024</v>
      </c>
      <c r="AC900" t="str">
        <f t="shared" si="119"/>
        <v>Clean</v>
      </c>
    </row>
    <row r="901" spans="1:29">
      <c r="A901" t="s">
        <v>2757</v>
      </c>
      <c r="B901" s="2">
        <v>45804</v>
      </c>
      <c r="C901" s="2">
        <v>45811</v>
      </c>
      <c r="D901" s="3">
        <f t="shared" si="112"/>
        <v>7</v>
      </c>
      <c r="E901" t="s">
        <v>2758</v>
      </c>
      <c r="F901" t="s">
        <v>23</v>
      </c>
      <c r="G901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2759</v>
      </c>
      <c r="N901" t="s">
        <v>50</v>
      </c>
      <c r="O901">
        <v>5</v>
      </c>
      <c r="P901">
        <v>881.08</v>
      </c>
      <c r="Q901" s="6">
        <v>0.25</v>
      </c>
      <c r="R901">
        <v>3304.05</v>
      </c>
      <c r="S901">
        <v>2279.41</v>
      </c>
      <c r="T901">
        <v>1024.6400000000001</v>
      </c>
      <c r="U901" t="s">
        <v>155</v>
      </c>
      <c r="V901" t="s">
        <v>68</v>
      </c>
      <c r="W901" s="8">
        <f t="shared" si="113"/>
        <v>0.25</v>
      </c>
      <c r="X901">
        <f t="shared" si="114"/>
        <v>3304.05</v>
      </c>
      <c r="Y901">
        <f t="shared" si="115"/>
        <v>1024.6400000000003</v>
      </c>
      <c r="Z901" s="8">
        <f t="shared" si="116"/>
        <v>0.31011637233092726</v>
      </c>
      <c r="AA901" t="str">
        <f t="shared" si="117"/>
        <v>May</v>
      </c>
      <c r="AB901">
        <f t="shared" si="118"/>
        <v>2025</v>
      </c>
      <c r="AC901" t="str">
        <f t="shared" si="119"/>
        <v>Clean</v>
      </c>
    </row>
    <row r="902" spans="1:29">
      <c r="A902" s="4" t="s">
        <v>1096</v>
      </c>
      <c r="B902" s="2">
        <v>45394</v>
      </c>
      <c r="C902" s="2">
        <v>45632</v>
      </c>
      <c r="D902" s="3">
        <f t="shared" si="112"/>
        <v>238</v>
      </c>
      <c r="E902" t="s">
        <v>1097</v>
      </c>
      <c r="F902" t="s">
        <v>132</v>
      </c>
      <c r="G902" t="s">
        <v>95</v>
      </c>
      <c r="H902" t="s">
        <v>38</v>
      </c>
      <c r="I902" t="s">
        <v>39</v>
      </c>
      <c r="J902" t="s">
        <v>40</v>
      </c>
      <c r="K902" t="s">
        <v>28</v>
      </c>
      <c r="L902" t="s">
        <v>153</v>
      </c>
      <c r="M902" t="s">
        <v>1098</v>
      </c>
      <c r="N902" t="s">
        <v>31</v>
      </c>
      <c r="O902">
        <v>4</v>
      </c>
      <c r="P902">
        <v>2685.66</v>
      </c>
      <c r="Q902" s="7">
        <v>0</v>
      </c>
      <c r="R902">
        <v>10989.89</v>
      </c>
      <c r="S902">
        <v>6477.37</v>
      </c>
      <c r="T902">
        <v>4265.2700000000004</v>
      </c>
      <c r="U902" t="s">
        <v>32</v>
      </c>
      <c r="V902" t="s">
        <v>33</v>
      </c>
      <c r="W902" s="8">
        <f t="shared" si="113"/>
        <v>0</v>
      </c>
      <c r="X902">
        <f t="shared" si="114"/>
        <v>10742.64</v>
      </c>
      <c r="Y902">
        <f t="shared" si="115"/>
        <v>4265.2699999999995</v>
      </c>
      <c r="Z902" s="8">
        <f t="shared" si="116"/>
        <v>0.39704113700170535</v>
      </c>
      <c r="AA902" t="str">
        <f t="shared" si="117"/>
        <v>April</v>
      </c>
      <c r="AB902">
        <f t="shared" si="118"/>
        <v>2024</v>
      </c>
      <c r="AC902" t="str">
        <f t="shared" si="119"/>
        <v>Clean</v>
      </c>
    </row>
    <row r="903" spans="1:29">
      <c r="A903" s="4" t="s">
        <v>380</v>
      </c>
      <c r="B903" s="2">
        <v>45893</v>
      </c>
      <c r="C903" s="2">
        <v>45898</v>
      </c>
      <c r="D903" s="3">
        <f t="shared" si="112"/>
        <v>5</v>
      </c>
      <c r="E903" t="s">
        <v>381</v>
      </c>
      <c r="F903" t="s">
        <v>128</v>
      </c>
      <c r="G903" t="s">
        <v>37</v>
      </c>
      <c r="H903" t="s">
        <v>38</v>
      </c>
      <c r="I903" t="s">
        <v>145</v>
      </c>
      <c r="J903" t="s">
        <v>146</v>
      </c>
      <c r="K903" t="s">
        <v>74</v>
      </c>
      <c r="L903" t="s">
        <v>80</v>
      </c>
      <c r="M903" t="s">
        <v>382</v>
      </c>
      <c r="N903" t="s">
        <v>50</v>
      </c>
      <c r="O903">
        <v>3</v>
      </c>
      <c r="P903">
        <v>3703.96</v>
      </c>
      <c r="Q903" s="6">
        <v>0.15</v>
      </c>
      <c r="R903">
        <v>9549.44</v>
      </c>
      <c r="S903">
        <v>5586.28</v>
      </c>
      <c r="T903">
        <v>3858.82</v>
      </c>
      <c r="U903" t="s">
        <v>32</v>
      </c>
      <c r="V903" t="s">
        <v>103</v>
      </c>
      <c r="W903" s="8">
        <f t="shared" si="113"/>
        <v>0.15</v>
      </c>
      <c r="X903">
        <f t="shared" si="114"/>
        <v>9445.098</v>
      </c>
      <c r="Y903">
        <f t="shared" si="115"/>
        <v>3858.8180000000002</v>
      </c>
      <c r="Z903" s="8">
        <f t="shared" si="116"/>
        <v>0.40855245758170006</v>
      </c>
      <c r="AA903" t="str">
        <f t="shared" si="117"/>
        <v>August</v>
      </c>
      <c r="AB903">
        <f t="shared" si="118"/>
        <v>2025</v>
      </c>
      <c r="AC903" t="str">
        <f t="shared" si="119"/>
        <v>Clean</v>
      </c>
    </row>
    <row r="904" spans="1:29">
      <c r="A904" s="4" t="s">
        <v>1220</v>
      </c>
      <c r="B904" s="2">
        <v>45760</v>
      </c>
      <c r="C904" s="2">
        <v>45760</v>
      </c>
      <c r="D904" s="3">
        <f t="shared" si="112"/>
        <v>0</v>
      </c>
      <c r="E904" t="s">
        <v>1221</v>
      </c>
      <c r="F904" t="s">
        <v>132</v>
      </c>
      <c r="G904" t="s">
        <v>37</v>
      </c>
      <c r="H904" t="s">
        <v>25</v>
      </c>
      <c r="I904" t="s">
        <v>136</v>
      </c>
      <c r="J904" t="s">
        <v>137</v>
      </c>
      <c r="K904" t="s">
        <v>28</v>
      </c>
      <c r="L904" t="s">
        <v>124</v>
      </c>
      <c r="M904" t="s">
        <v>1222</v>
      </c>
      <c r="N904" t="s">
        <v>31</v>
      </c>
      <c r="O904">
        <v>9</v>
      </c>
      <c r="P904">
        <v>1118.68</v>
      </c>
      <c r="Q904" s="7">
        <v>0</v>
      </c>
      <c r="R904">
        <v>10348.43</v>
      </c>
      <c r="S904">
        <v>8595.3700000000008</v>
      </c>
      <c r="T904">
        <v>1472.75</v>
      </c>
      <c r="U904" t="s">
        <v>32</v>
      </c>
      <c r="V904" t="s">
        <v>103</v>
      </c>
      <c r="W904" s="8">
        <f t="shared" si="113"/>
        <v>0</v>
      </c>
      <c r="X904">
        <f t="shared" si="114"/>
        <v>10068.120000000001</v>
      </c>
      <c r="Y904">
        <f t="shared" si="115"/>
        <v>1472.75</v>
      </c>
      <c r="Z904" s="8">
        <f t="shared" si="116"/>
        <v>0.14627855051389932</v>
      </c>
      <c r="AA904" t="str">
        <f t="shared" si="117"/>
        <v>April</v>
      </c>
      <c r="AB904">
        <f t="shared" si="118"/>
        <v>2025</v>
      </c>
      <c r="AC904" t="str">
        <f t="shared" si="119"/>
        <v>Clean</v>
      </c>
    </row>
    <row r="905" spans="1:29">
      <c r="A905" s="4" t="s">
        <v>778</v>
      </c>
      <c r="B905" s="2">
        <v>45932</v>
      </c>
      <c r="C905" s="2">
        <v>45938</v>
      </c>
      <c r="D905" s="3">
        <f t="shared" si="112"/>
        <v>6</v>
      </c>
      <c r="E905" t="s">
        <v>779</v>
      </c>
      <c r="F905" t="s">
        <v>47</v>
      </c>
      <c r="G905" t="s">
        <v>37</v>
      </c>
      <c r="H905" t="s">
        <v>25</v>
      </c>
      <c r="I905" t="s">
        <v>122</v>
      </c>
      <c r="J905" t="s">
        <v>123</v>
      </c>
      <c r="K905" t="s">
        <v>41</v>
      </c>
      <c r="L905" t="s">
        <v>57</v>
      </c>
      <c r="M905" t="s">
        <v>780</v>
      </c>
      <c r="N905" t="s">
        <v>59</v>
      </c>
      <c r="O905">
        <v>4</v>
      </c>
      <c r="P905">
        <v>3944.64</v>
      </c>
      <c r="Q905" s="6">
        <v>0.25</v>
      </c>
      <c r="R905">
        <v>12116.89</v>
      </c>
      <c r="S905">
        <v>6682.92</v>
      </c>
      <c r="T905">
        <v>5151</v>
      </c>
      <c r="U905" t="s">
        <v>32</v>
      </c>
      <c r="V905" t="s">
        <v>103</v>
      </c>
      <c r="W905" s="8">
        <f t="shared" si="113"/>
        <v>0.25</v>
      </c>
      <c r="X905">
        <f t="shared" si="114"/>
        <v>11833.92</v>
      </c>
      <c r="Y905">
        <f t="shared" si="115"/>
        <v>5151</v>
      </c>
      <c r="Z905" s="8">
        <f t="shared" si="116"/>
        <v>0.43527419485681834</v>
      </c>
      <c r="AA905" t="str">
        <f t="shared" si="117"/>
        <v>October</v>
      </c>
      <c r="AB905">
        <f t="shared" si="118"/>
        <v>2025</v>
      </c>
      <c r="AC905" t="str">
        <f t="shared" si="119"/>
        <v>Clean</v>
      </c>
    </row>
    <row r="906" spans="1:29">
      <c r="A906" s="4" t="s">
        <v>1046</v>
      </c>
      <c r="B906" s="2">
        <v>45795</v>
      </c>
      <c r="C906" s="2">
        <v>45797</v>
      </c>
      <c r="D906" s="3">
        <f t="shared" si="112"/>
        <v>2</v>
      </c>
      <c r="E906" t="s">
        <v>1047</v>
      </c>
      <c r="F906" t="s">
        <v>47</v>
      </c>
      <c r="G906" t="s">
        <v>90</v>
      </c>
      <c r="H906" t="s">
        <v>63</v>
      </c>
      <c r="I906" t="s">
        <v>72</v>
      </c>
      <c r="J906" t="s">
        <v>73</v>
      </c>
      <c r="K906" t="s">
        <v>28</v>
      </c>
      <c r="L906" t="s">
        <v>91</v>
      </c>
      <c r="M906" t="s">
        <v>1048</v>
      </c>
      <c r="N906" t="s">
        <v>59</v>
      </c>
      <c r="O906">
        <v>9</v>
      </c>
      <c r="P906">
        <v>847.76</v>
      </c>
      <c r="Q906" s="6">
        <v>0.15</v>
      </c>
      <c r="R906">
        <v>6589.37</v>
      </c>
      <c r="S906">
        <v>5376.17</v>
      </c>
      <c r="T906">
        <v>1109.19</v>
      </c>
      <c r="U906" t="s">
        <v>155</v>
      </c>
      <c r="V906" t="s">
        <v>33</v>
      </c>
      <c r="W906" s="8">
        <f t="shared" si="113"/>
        <v>0.15</v>
      </c>
      <c r="X906">
        <f t="shared" si="114"/>
        <v>6485.3639999999996</v>
      </c>
      <c r="Y906">
        <f t="shared" si="115"/>
        <v>1109.1939999999995</v>
      </c>
      <c r="Z906" s="8">
        <f t="shared" si="116"/>
        <v>0.17103033846673826</v>
      </c>
      <c r="AA906" t="str">
        <f t="shared" si="117"/>
        <v>May</v>
      </c>
      <c r="AB906">
        <f t="shared" si="118"/>
        <v>2025</v>
      </c>
      <c r="AC906" t="str">
        <f t="shared" si="119"/>
        <v>Clean</v>
      </c>
    </row>
    <row r="907" spans="1:29">
      <c r="A907" s="4" t="s">
        <v>618</v>
      </c>
      <c r="B907" s="2">
        <v>45847</v>
      </c>
      <c r="C907" s="2">
        <v>45915</v>
      </c>
      <c r="D907" s="3">
        <f t="shared" si="112"/>
        <v>68</v>
      </c>
      <c r="E907" t="s">
        <v>619</v>
      </c>
      <c r="F907" t="s">
        <v>141</v>
      </c>
      <c r="G907" t="s">
        <v>90</v>
      </c>
      <c r="H907" t="s">
        <v>38</v>
      </c>
      <c r="I907" t="s">
        <v>145</v>
      </c>
      <c r="J907" t="s">
        <v>146</v>
      </c>
      <c r="K907" t="s">
        <v>74</v>
      </c>
      <c r="L907" t="s">
        <v>80</v>
      </c>
      <c r="M907" t="s">
        <v>620</v>
      </c>
      <c r="N907" t="s">
        <v>59</v>
      </c>
      <c r="O907">
        <v>3</v>
      </c>
      <c r="P907">
        <v>1711.32</v>
      </c>
      <c r="Q907" s="7">
        <v>0</v>
      </c>
      <c r="R907">
        <v>5206.53</v>
      </c>
      <c r="S907">
        <v>3930</v>
      </c>
      <c r="T907">
        <v>1203.96</v>
      </c>
      <c r="U907" t="s">
        <v>32</v>
      </c>
      <c r="V907" t="s">
        <v>103</v>
      </c>
      <c r="W907" s="8">
        <f t="shared" si="113"/>
        <v>0</v>
      </c>
      <c r="X907">
        <f t="shared" si="114"/>
        <v>5133.96</v>
      </c>
      <c r="Y907">
        <f t="shared" si="115"/>
        <v>1203.96</v>
      </c>
      <c r="Z907" s="8">
        <f t="shared" si="116"/>
        <v>0.23450903396208775</v>
      </c>
      <c r="AA907" t="str">
        <f t="shared" si="117"/>
        <v>July</v>
      </c>
      <c r="AB907">
        <f t="shared" si="118"/>
        <v>2025</v>
      </c>
      <c r="AC907" t="str">
        <f t="shared" si="119"/>
        <v>Clean</v>
      </c>
    </row>
    <row r="908" spans="1:29">
      <c r="A908" s="4" t="s">
        <v>1369</v>
      </c>
      <c r="B908" s="2">
        <v>45342</v>
      </c>
      <c r="C908" s="2">
        <v>45349</v>
      </c>
      <c r="D908" s="3">
        <f t="shared" si="112"/>
        <v>7</v>
      </c>
      <c r="E908" t="s">
        <v>1370</v>
      </c>
      <c r="F908" t="s">
        <v>162</v>
      </c>
      <c r="G908" t="s">
        <v>24</v>
      </c>
      <c r="H908" t="s">
        <v>54</v>
      </c>
      <c r="I908" t="s">
        <v>185</v>
      </c>
      <c r="J908" t="s">
        <v>186</v>
      </c>
      <c r="K908" t="s">
        <v>74</v>
      </c>
      <c r="L908" t="s">
        <v>75</v>
      </c>
      <c r="M908" t="s">
        <v>1371</v>
      </c>
      <c r="N908" t="s">
        <v>50</v>
      </c>
      <c r="O908">
        <v>9</v>
      </c>
      <c r="P908">
        <v>3779.31</v>
      </c>
      <c r="Q908" s="6">
        <v>0.2</v>
      </c>
      <c r="R908">
        <v>27322.9</v>
      </c>
      <c r="S908">
        <v>17940.43</v>
      </c>
      <c r="T908">
        <v>9270.6</v>
      </c>
      <c r="U908" t="s">
        <v>32</v>
      </c>
      <c r="V908" t="s">
        <v>103</v>
      </c>
      <c r="W908" s="8">
        <f t="shared" si="113"/>
        <v>0.2</v>
      </c>
      <c r="X908">
        <f t="shared" si="114"/>
        <v>27211.032000000003</v>
      </c>
      <c r="Y908">
        <f t="shared" si="115"/>
        <v>9270.6020000000026</v>
      </c>
      <c r="Z908" s="8">
        <f t="shared" si="116"/>
        <v>0.34069277490100347</v>
      </c>
      <c r="AA908" t="str">
        <f t="shared" si="117"/>
        <v>February</v>
      </c>
      <c r="AB908">
        <f t="shared" si="118"/>
        <v>2024</v>
      </c>
      <c r="AC908" t="str">
        <f t="shared" si="119"/>
        <v>Clean</v>
      </c>
    </row>
    <row r="909" spans="1:29">
      <c r="A909" s="4" t="s">
        <v>1807</v>
      </c>
      <c r="B909" s="2">
        <v>45698</v>
      </c>
      <c r="C909" s="2">
        <v>45702</v>
      </c>
      <c r="D909" s="3">
        <f t="shared" si="112"/>
        <v>4</v>
      </c>
      <c r="E909" t="s">
        <v>1808</v>
      </c>
      <c r="F909" t="s">
        <v>114</v>
      </c>
      <c r="G909" t="s">
        <v>37</v>
      </c>
      <c r="H909" t="s">
        <v>25</v>
      </c>
      <c r="I909" t="s">
        <v>136</v>
      </c>
      <c r="J909" t="s">
        <v>137</v>
      </c>
      <c r="K909" t="s">
        <v>74</v>
      </c>
      <c r="L909" t="s">
        <v>171</v>
      </c>
      <c r="M909" t="s">
        <v>1809</v>
      </c>
      <c r="N909" s="4" t="s">
        <v>2760</v>
      </c>
      <c r="O909">
        <v>5</v>
      </c>
      <c r="P909">
        <v>4276.29</v>
      </c>
      <c r="Q909" s="7">
        <v>0</v>
      </c>
      <c r="R909">
        <v>21443.63</v>
      </c>
      <c r="S909">
        <v>13240.21</v>
      </c>
      <c r="T909">
        <v>8141.24</v>
      </c>
      <c r="U909" t="s">
        <v>155</v>
      </c>
      <c r="V909" t="s">
        <v>33</v>
      </c>
      <c r="W909" s="8">
        <f t="shared" si="113"/>
        <v>0</v>
      </c>
      <c r="X909">
        <f t="shared" si="114"/>
        <v>21381.45</v>
      </c>
      <c r="Y909">
        <f t="shared" si="115"/>
        <v>8141.2400000000016</v>
      </c>
      <c r="Z909" s="8">
        <f t="shared" si="116"/>
        <v>0.38076182859441249</v>
      </c>
      <c r="AA909" t="str">
        <f t="shared" si="117"/>
        <v>February</v>
      </c>
      <c r="AB909">
        <f t="shared" si="118"/>
        <v>2025</v>
      </c>
      <c r="AC909" t="str">
        <f t="shared" si="119"/>
        <v>Clean</v>
      </c>
    </row>
    <row r="910" spans="1:29">
      <c r="A910" s="4" t="s">
        <v>535</v>
      </c>
      <c r="B910" s="2">
        <v>45381</v>
      </c>
      <c r="C910" s="2">
        <v>45377</v>
      </c>
      <c r="D910" s="5">
        <f t="shared" si="112"/>
        <v>-4</v>
      </c>
      <c r="E910" t="s">
        <v>536</v>
      </c>
      <c r="F910" t="s">
        <v>89</v>
      </c>
      <c r="G910" t="s">
        <v>95</v>
      </c>
      <c r="H910" t="s">
        <v>25</v>
      </c>
      <c r="I910" t="s">
        <v>26</v>
      </c>
      <c r="J910" t="s">
        <v>27</v>
      </c>
      <c r="K910" t="s">
        <v>74</v>
      </c>
      <c r="L910" t="s">
        <v>171</v>
      </c>
      <c r="M910" t="s">
        <v>537</v>
      </c>
      <c r="N910" t="s">
        <v>31</v>
      </c>
      <c r="O910">
        <v>5</v>
      </c>
      <c r="P910">
        <v>907.54</v>
      </c>
      <c r="Q910" s="6">
        <v>0.15</v>
      </c>
      <c r="R910">
        <v>4099.6899999999996</v>
      </c>
      <c r="S910">
        <v>2769.26</v>
      </c>
      <c r="T910">
        <v>1087.78</v>
      </c>
      <c r="U910" t="s">
        <v>32</v>
      </c>
      <c r="V910" t="s">
        <v>103</v>
      </c>
      <c r="W910" s="8">
        <f t="shared" si="113"/>
        <v>0.15</v>
      </c>
      <c r="X910">
        <f t="shared" si="114"/>
        <v>3857.0449999999996</v>
      </c>
      <c r="Y910">
        <f t="shared" si="115"/>
        <v>1087.7849999999994</v>
      </c>
      <c r="Z910" s="8">
        <f t="shared" si="116"/>
        <v>0.28202548842442843</v>
      </c>
      <c r="AA910" t="str">
        <f t="shared" si="117"/>
        <v>March</v>
      </c>
      <c r="AB910">
        <f t="shared" si="118"/>
        <v>2024</v>
      </c>
      <c r="AC910" t="str">
        <f t="shared" si="119"/>
        <v>Warning</v>
      </c>
    </row>
    <row r="911" spans="1:29">
      <c r="A911" s="4" t="s">
        <v>921</v>
      </c>
      <c r="B911" s="2">
        <v>45522</v>
      </c>
      <c r="C911" s="2">
        <v>45528</v>
      </c>
      <c r="D911" s="3">
        <f t="shared" si="112"/>
        <v>6</v>
      </c>
      <c r="E911" t="s">
        <v>922</v>
      </c>
      <c r="F911" t="s">
        <v>53</v>
      </c>
      <c r="G911" t="s">
        <v>24</v>
      </c>
      <c r="H911" t="s">
        <v>54</v>
      </c>
      <c r="I911" t="s">
        <v>84</v>
      </c>
      <c r="J911" t="s">
        <v>85</v>
      </c>
      <c r="K911" t="s">
        <v>41</v>
      </c>
      <c r="L911" t="s">
        <v>66</v>
      </c>
      <c r="M911" t="s">
        <v>923</v>
      </c>
      <c r="N911" t="s">
        <v>50</v>
      </c>
      <c r="O911">
        <v>7</v>
      </c>
      <c r="P911">
        <v>557.21</v>
      </c>
      <c r="Q911" s="6">
        <v>0.1</v>
      </c>
      <c r="R911">
        <v>3797.79</v>
      </c>
      <c r="S911">
        <v>2191.5</v>
      </c>
      <c r="T911">
        <v>1213.48</v>
      </c>
      <c r="U911" t="s">
        <v>32</v>
      </c>
      <c r="V911" t="s">
        <v>103</v>
      </c>
      <c r="W911" s="8">
        <f t="shared" si="113"/>
        <v>0.1</v>
      </c>
      <c r="X911">
        <f t="shared" si="114"/>
        <v>3510.4230000000002</v>
      </c>
      <c r="Y911">
        <f t="shared" si="115"/>
        <v>1318.9230000000002</v>
      </c>
      <c r="Z911" s="8">
        <f t="shared" si="116"/>
        <v>0.37571625983535323</v>
      </c>
      <c r="AA911" t="str">
        <f t="shared" si="117"/>
        <v>August</v>
      </c>
      <c r="AB911">
        <f t="shared" si="118"/>
        <v>2024</v>
      </c>
      <c r="AC911" t="str">
        <f t="shared" si="119"/>
        <v>Clean</v>
      </c>
    </row>
    <row r="912" spans="1:29">
      <c r="A912" s="4" t="s">
        <v>478</v>
      </c>
      <c r="B912" s="2">
        <v>45436</v>
      </c>
      <c r="C912" s="2">
        <v>45437</v>
      </c>
      <c r="D912" s="3">
        <f t="shared" si="112"/>
        <v>1</v>
      </c>
      <c r="E912" t="s">
        <v>479</v>
      </c>
      <c r="F912" t="s">
        <v>132</v>
      </c>
      <c r="G912" t="s">
        <v>37</v>
      </c>
      <c r="H912" t="s">
        <v>25</v>
      </c>
      <c r="I912" t="s">
        <v>122</v>
      </c>
      <c r="J912" t="s">
        <v>123</v>
      </c>
      <c r="K912" t="s">
        <v>74</v>
      </c>
      <c r="L912" t="s">
        <v>80</v>
      </c>
      <c r="M912" t="s">
        <v>480</v>
      </c>
      <c r="N912" t="s">
        <v>44</v>
      </c>
      <c r="O912">
        <v>1</v>
      </c>
      <c r="P912">
        <v>634.13</v>
      </c>
      <c r="Q912" s="7">
        <v>0</v>
      </c>
      <c r="R912">
        <v>808.67</v>
      </c>
      <c r="S912">
        <v>453.35</v>
      </c>
      <c r="T912">
        <v>180.78</v>
      </c>
      <c r="U912" t="s">
        <v>102</v>
      </c>
      <c r="V912" t="s">
        <v>103</v>
      </c>
      <c r="W912" s="8">
        <f t="shared" si="113"/>
        <v>0</v>
      </c>
      <c r="X912">
        <f t="shared" si="114"/>
        <v>634.13</v>
      </c>
      <c r="Y912">
        <f t="shared" si="115"/>
        <v>180.77999999999997</v>
      </c>
      <c r="Z912" s="8">
        <f t="shared" si="116"/>
        <v>0.28508350022865969</v>
      </c>
      <c r="AA912" t="str">
        <f t="shared" si="117"/>
        <v>May</v>
      </c>
      <c r="AB912">
        <f t="shared" si="118"/>
        <v>2024</v>
      </c>
      <c r="AC912" t="str">
        <f t="shared" si="119"/>
        <v>Clean</v>
      </c>
    </row>
    <row r="913" spans="1:29">
      <c r="A913" s="4" t="s">
        <v>1108</v>
      </c>
      <c r="B913" s="2">
        <v>45824</v>
      </c>
      <c r="C913" s="2">
        <v>45826</v>
      </c>
      <c r="D913" s="3">
        <f t="shared" si="112"/>
        <v>2</v>
      </c>
      <c r="E913" t="s">
        <v>1109</v>
      </c>
      <c r="F913" t="s">
        <v>118</v>
      </c>
      <c r="G913" t="s">
        <v>95</v>
      </c>
      <c r="H913" t="s">
        <v>63</v>
      </c>
      <c r="I913" t="s">
        <v>72</v>
      </c>
      <c r="J913" t="s">
        <v>73</v>
      </c>
      <c r="K913" t="s">
        <v>28</v>
      </c>
      <c r="L913" t="s">
        <v>29</v>
      </c>
      <c r="M913" t="s">
        <v>1110</v>
      </c>
      <c r="N913" t="s">
        <v>50</v>
      </c>
      <c r="O913">
        <v>3</v>
      </c>
      <c r="P913">
        <v>4289.37</v>
      </c>
      <c r="Q913" s="6">
        <v>0.1</v>
      </c>
      <c r="R913">
        <v>11778.71</v>
      </c>
      <c r="S913">
        <v>6829.43</v>
      </c>
      <c r="T913">
        <v>4751.87</v>
      </c>
      <c r="U913" t="s">
        <v>32</v>
      </c>
      <c r="V913" t="s">
        <v>103</v>
      </c>
      <c r="W913" s="8">
        <f t="shared" si="113"/>
        <v>0.1</v>
      </c>
      <c r="X913">
        <f t="shared" si="114"/>
        <v>11581.299000000001</v>
      </c>
      <c r="Y913">
        <f t="shared" si="115"/>
        <v>4751.8690000000006</v>
      </c>
      <c r="Z913" s="8">
        <f t="shared" si="116"/>
        <v>0.41030535521101735</v>
      </c>
      <c r="AA913" t="str">
        <f t="shared" si="117"/>
        <v>June</v>
      </c>
      <c r="AB913">
        <f t="shared" si="118"/>
        <v>2025</v>
      </c>
      <c r="AC913" t="str">
        <f t="shared" si="119"/>
        <v>Clean</v>
      </c>
    </row>
  </sheetData>
  <autoFilter ref="A1:AC9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Sales_Profit_Region</vt:lpstr>
      <vt:lpstr>Category_SubCategory</vt:lpstr>
      <vt:lpstr>Order_Count_ShipMode</vt:lpstr>
      <vt:lpstr>ProfitMargin_Segment</vt:lpstr>
      <vt:lpstr>Issue_Orders_Region</vt:lpstr>
      <vt:lpstr>Monthly_Sales_Trend</vt:lpstr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Shivanand Kadam</cp:lastModifiedBy>
  <dcterms:modified xsi:type="dcterms:W3CDTF">2026-06-24T11:57:31Z</dcterms:modified>
</cp:coreProperties>
</file>